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nts\hq\TE\TE-Safety\TE-Safety-Data-Gp\AASHTOWare Safety - Numetric\"/>
    </mc:Choice>
  </mc:AlternateContent>
  <xr:revisionPtr revIDLastSave="0" documentId="13_ncr:1_{377638C0-EEF0-4373-A020-AF3A2F65F102}" xr6:coauthVersionLast="47" xr6:coauthVersionMax="47" xr10:uidLastSave="{00000000-0000-0000-0000-000000000000}"/>
  <bookViews>
    <workbookView xWindow="13980" yWindow="-16665" windowWidth="29040" windowHeight="15720" tabRatio="500" activeTab="3" xr2:uid="{00000000-000D-0000-FFFF-FFFF00000000}"/>
  </bookViews>
  <sheets>
    <sheet name="Summary" sheetId="1" r:id="rId1"/>
    <sheet name="Treatment Selector" sheetId="2" r:id="rId2"/>
    <sheet name="Countermeasures" sheetId="4" r:id="rId3"/>
    <sheet name="Treatments" sheetId="5" r:id="rId4"/>
  </sheets>
  <definedNames>
    <definedName name="_xlnm._FilterDatabase" localSheetId="2" hidden="1">Countermeasures!$A$2:$K$32</definedName>
    <definedName name="_xlnm._FilterDatabase" localSheetId="3" hidden="1">Treatments!$A$2:$AC$135</definedName>
  </definedName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W135" i="5" l="1"/>
  <c r="P135" i="5"/>
  <c r="Q135" i="5" s="1"/>
  <c r="D167" i="2" s="1"/>
  <c r="W134" i="5"/>
  <c r="P134" i="5"/>
  <c r="Q134" i="5" s="1"/>
  <c r="D166" i="2" s="1"/>
  <c r="W133" i="5"/>
  <c r="P133" i="5"/>
  <c r="Q133" i="5" s="1"/>
  <c r="D165" i="2" s="1"/>
  <c r="W132" i="5"/>
  <c r="Q132" i="5"/>
  <c r="D164" i="2" s="1"/>
  <c r="P132" i="5"/>
  <c r="W131" i="5"/>
  <c r="P131" i="5"/>
  <c r="Q131" i="5" s="1"/>
  <c r="W130" i="5"/>
  <c r="P130" i="5"/>
  <c r="W129" i="5"/>
  <c r="P129" i="5"/>
  <c r="Q129" i="5" s="1"/>
  <c r="D161" i="2" s="1"/>
  <c r="W128" i="5"/>
  <c r="P128" i="5"/>
  <c r="Q128" i="5" s="1"/>
  <c r="W127" i="5"/>
  <c r="P127" i="5"/>
  <c r="E159" i="2" s="1"/>
  <c r="W126" i="5"/>
  <c r="P126" i="5"/>
  <c r="E158" i="2" s="1"/>
  <c r="W125" i="5"/>
  <c r="P125" i="5"/>
  <c r="Q125" i="5" s="1"/>
  <c r="D157" i="2" s="1"/>
  <c r="W124" i="5"/>
  <c r="P124" i="5"/>
  <c r="Q124" i="5" s="1"/>
  <c r="D156" i="2" s="1"/>
  <c r="W123" i="5"/>
  <c r="P123" i="5"/>
  <c r="Q123" i="5" s="1"/>
  <c r="D155" i="2" s="1"/>
  <c r="W122" i="5"/>
  <c r="P122" i="5"/>
  <c r="W121" i="5"/>
  <c r="P121" i="5"/>
  <c r="Q121" i="5" s="1"/>
  <c r="D153" i="2" s="1"/>
  <c r="W120" i="5"/>
  <c r="P120" i="5"/>
  <c r="E152" i="2" s="1"/>
  <c r="W119" i="5"/>
  <c r="P119" i="5"/>
  <c r="E151" i="2" s="1"/>
  <c r="W118" i="5"/>
  <c r="P118" i="5"/>
  <c r="Q118" i="5" s="1"/>
  <c r="D150" i="2" s="1"/>
  <c r="W117" i="5"/>
  <c r="P117" i="5"/>
  <c r="Q117" i="5" s="1"/>
  <c r="D149" i="2" s="1"/>
  <c r="W116" i="5"/>
  <c r="P116" i="5"/>
  <c r="Q116" i="5" s="1"/>
  <c r="D148" i="2" s="1"/>
  <c r="W115" i="5"/>
  <c r="P115" i="5"/>
  <c r="Q115" i="5" s="1"/>
  <c r="D147" i="2" s="1"/>
  <c r="W114" i="5"/>
  <c r="P114" i="5"/>
  <c r="W113" i="5"/>
  <c r="P113" i="5"/>
  <c r="Q113" i="5" s="1"/>
  <c r="D145" i="2" s="1"/>
  <c r="W112" i="5"/>
  <c r="Q112" i="5"/>
  <c r="P112" i="5"/>
  <c r="W111" i="5"/>
  <c r="P111" i="5"/>
  <c r="E143" i="2" s="1"/>
  <c r="W110" i="5"/>
  <c r="P110" i="5"/>
  <c r="E142" i="2" s="1"/>
  <c r="W109" i="5"/>
  <c r="P109" i="5"/>
  <c r="Q109" i="5" s="1"/>
  <c r="D141" i="2" s="1"/>
  <c r="W108" i="5"/>
  <c r="P108" i="5"/>
  <c r="Q108" i="5" s="1"/>
  <c r="D140" i="2" s="1"/>
  <c r="W107" i="5"/>
  <c r="P107" i="5"/>
  <c r="Q107" i="5" s="1"/>
  <c r="D139" i="2" s="1"/>
  <c r="W106" i="5"/>
  <c r="P106" i="5"/>
  <c r="W105" i="5"/>
  <c r="P105" i="5"/>
  <c r="Q105" i="5" s="1"/>
  <c r="D137" i="2" s="1"/>
  <c r="W104" i="5"/>
  <c r="P104" i="5"/>
  <c r="E136" i="2" s="1"/>
  <c r="W103" i="5"/>
  <c r="P103" i="5"/>
  <c r="E135" i="2" s="1"/>
  <c r="W102" i="5"/>
  <c r="P102" i="5"/>
  <c r="Q102" i="5" s="1"/>
  <c r="D134" i="2" s="1"/>
  <c r="W101" i="5"/>
  <c r="P101" i="5"/>
  <c r="Q101" i="5" s="1"/>
  <c r="D133" i="2" s="1"/>
  <c r="W100" i="5"/>
  <c r="P100" i="5"/>
  <c r="Q100" i="5" s="1"/>
  <c r="D132" i="2" s="1"/>
  <c r="W99" i="5"/>
  <c r="P99" i="5"/>
  <c r="Q99" i="5" s="1"/>
  <c r="D131" i="2" s="1"/>
  <c r="W98" i="5"/>
  <c r="P98" i="5"/>
  <c r="W97" i="5"/>
  <c r="P97" i="5"/>
  <c r="Q97" i="5" s="1"/>
  <c r="D129" i="2" s="1"/>
  <c r="W96" i="5"/>
  <c r="P96" i="5"/>
  <c r="Q96" i="5" s="1"/>
  <c r="D128" i="2" s="1"/>
  <c r="W95" i="5"/>
  <c r="P95" i="5"/>
  <c r="E127" i="2" s="1"/>
  <c r="W94" i="5"/>
  <c r="P94" i="5"/>
  <c r="Q94" i="5" s="1"/>
  <c r="D126" i="2" s="1"/>
  <c r="W93" i="5"/>
  <c r="P93" i="5"/>
  <c r="Q93" i="5" s="1"/>
  <c r="D125" i="2" s="1"/>
  <c r="W92" i="5"/>
  <c r="P92" i="5"/>
  <c r="Q92" i="5" s="1"/>
  <c r="D124" i="2" s="1"/>
  <c r="W91" i="5"/>
  <c r="P91" i="5"/>
  <c r="Q91" i="5" s="1"/>
  <c r="D123" i="2" s="1"/>
  <c r="W90" i="5"/>
  <c r="P90" i="5"/>
  <c r="W89" i="5"/>
  <c r="P89" i="5"/>
  <c r="Q89" i="5" s="1"/>
  <c r="D121" i="2" s="1"/>
  <c r="W88" i="5"/>
  <c r="P88" i="5"/>
  <c r="Q88" i="5" s="1"/>
  <c r="D120" i="2" s="1"/>
  <c r="W87" i="5"/>
  <c r="P87" i="5"/>
  <c r="E119" i="2" s="1"/>
  <c r="W86" i="5"/>
  <c r="P86" i="5"/>
  <c r="Q86" i="5" s="1"/>
  <c r="D118" i="2" s="1"/>
  <c r="W85" i="5"/>
  <c r="P85" i="5"/>
  <c r="Q85" i="5" s="1"/>
  <c r="D117" i="2" s="1"/>
  <c r="W84" i="5"/>
  <c r="P84" i="5"/>
  <c r="Q84" i="5" s="1"/>
  <c r="D116" i="2" s="1"/>
  <c r="W83" i="5"/>
  <c r="P83" i="5"/>
  <c r="Q83" i="5" s="1"/>
  <c r="W82" i="5"/>
  <c r="P82" i="5"/>
  <c r="W81" i="5"/>
  <c r="P81" i="5"/>
  <c r="E113" i="2" s="1"/>
  <c r="W80" i="5"/>
  <c r="P80" i="5"/>
  <c r="Q80" i="5" s="1"/>
  <c r="D112" i="2" s="1"/>
  <c r="W79" i="5"/>
  <c r="P79" i="5"/>
  <c r="E111" i="2" s="1"/>
  <c r="W78" i="5"/>
  <c r="P78" i="5"/>
  <c r="E110" i="2" s="1"/>
  <c r="W77" i="5"/>
  <c r="P77" i="5"/>
  <c r="Q77" i="5" s="1"/>
  <c r="D109" i="2" s="1"/>
  <c r="W76" i="5"/>
  <c r="P76" i="5"/>
  <c r="Q76" i="5" s="1"/>
  <c r="D108" i="2" s="1"/>
  <c r="W75" i="5"/>
  <c r="P75" i="5"/>
  <c r="Q75" i="5" s="1"/>
  <c r="D107" i="2" s="1"/>
  <c r="W74" i="5"/>
  <c r="P74" i="5"/>
  <c r="W73" i="5"/>
  <c r="P73" i="5"/>
  <c r="Q73" i="5" s="1"/>
  <c r="D105" i="2" s="1"/>
  <c r="W72" i="5"/>
  <c r="P72" i="5"/>
  <c r="Q72" i="5" s="1"/>
  <c r="D104" i="2" s="1"/>
  <c r="W71" i="5"/>
  <c r="P71" i="5"/>
  <c r="E103" i="2" s="1"/>
  <c r="W70" i="5"/>
  <c r="Q70" i="5"/>
  <c r="D102" i="2" s="1"/>
  <c r="P70" i="5"/>
  <c r="W69" i="5"/>
  <c r="P69" i="5"/>
  <c r="Q69" i="5" s="1"/>
  <c r="D101" i="2" s="1"/>
  <c r="W68" i="5"/>
  <c r="P68" i="5"/>
  <c r="Q68" i="5" s="1"/>
  <c r="D100" i="2" s="1"/>
  <c r="W67" i="5"/>
  <c r="P67" i="5"/>
  <c r="Q67" i="5" s="1"/>
  <c r="D99" i="2" s="1"/>
  <c r="W66" i="5"/>
  <c r="P66" i="5"/>
  <c r="W65" i="5"/>
  <c r="P65" i="5"/>
  <c r="Q65" i="5" s="1"/>
  <c r="D97" i="2" s="1"/>
  <c r="W64" i="5"/>
  <c r="P64" i="5"/>
  <c r="Q64" i="5" s="1"/>
  <c r="D96" i="2" s="1"/>
  <c r="W63" i="5"/>
  <c r="P63" i="5"/>
  <c r="E95" i="2" s="1"/>
  <c r="W62" i="5"/>
  <c r="P62" i="5"/>
  <c r="E94" i="2" s="1"/>
  <c r="W61" i="5"/>
  <c r="P61" i="5"/>
  <c r="Q61" i="5" s="1"/>
  <c r="W60" i="5"/>
  <c r="P60" i="5"/>
  <c r="Q60" i="5" s="1"/>
  <c r="D92" i="2" s="1"/>
  <c r="W59" i="5"/>
  <c r="P59" i="5"/>
  <c r="Q59" i="5" s="1"/>
  <c r="D91" i="2" s="1"/>
  <c r="W58" i="5"/>
  <c r="P58" i="5"/>
  <c r="W57" i="5"/>
  <c r="P57" i="5"/>
  <c r="Q57" i="5" s="1"/>
  <c r="D89" i="2" s="1"/>
  <c r="W56" i="5"/>
  <c r="P56" i="5"/>
  <c r="E88" i="2" s="1"/>
  <c r="W55" i="5"/>
  <c r="P55" i="5"/>
  <c r="E87" i="2" s="1"/>
  <c r="W54" i="5"/>
  <c r="P54" i="5"/>
  <c r="Q54" i="5" s="1"/>
  <c r="D86" i="2" s="1"/>
  <c r="W53" i="5"/>
  <c r="P53" i="5"/>
  <c r="Q53" i="5" s="1"/>
  <c r="W52" i="5"/>
  <c r="P52" i="5"/>
  <c r="Q52" i="5" s="1"/>
  <c r="D84" i="2" s="1"/>
  <c r="W51" i="5"/>
  <c r="P51" i="5"/>
  <c r="Q51" i="5" s="1"/>
  <c r="D83" i="2" s="1"/>
  <c r="W50" i="5"/>
  <c r="P50" i="5"/>
  <c r="W49" i="5"/>
  <c r="P49" i="5"/>
  <c r="E81" i="2" s="1"/>
  <c r="W48" i="5"/>
  <c r="P48" i="5"/>
  <c r="E80" i="2" s="1"/>
  <c r="W47" i="5"/>
  <c r="P47" i="5"/>
  <c r="E79" i="2" s="1"/>
  <c r="W46" i="5"/>
  <c r="P46" i="5"/>
  <c r="E78" i="2" s="1"/>
  <c r="W45" i="5"/>
  <c r="P45" i="5"/>
  <c r="Q45" i="5" s="1"/>
  <c r="D77" i="2" s="1"/>
  <c r="W44" i="5"/>
  <c r="P44" i="5"/>
  <c r="Q44" i="5" s="1"/>
  <c r="D76" i="2" s="1"/>
  <c r="W43" i="5"/>
  <c r="P43" i="5"/>
  <c r="Q43" i="5" s="1"/>
  <c r="D75" i="2" s="1"/>
  <c r="W42" i="5"/>
  <c r="P42" i="5"/>
  <c r="W41" i="5"/>
  <c r="P41" i="5"/>
  <c r="E73" i="2" s="1"/>
  <c r="W40" i="5"/>
  <c r="P40" i="5"/>
  <c r="E72" i="2" s="1"/>
  <c r="W39" i="5"/>
  <c r="P39" i="5"/>
  <c r="E71" i="2" s="1"/>
  <c r="W38" i="5"/>
  <c r="P38" i="5"/>
  <c r="Q38" i="5" s="1"/>
  <c r="D70" i="2" s="1"/>
  <c r="W37" i="5"/>
  <c r="P37" i="5"/>
  <c r="Q37" i="5" s="1"/>
  <c r="D69" i="2" s="1"/>
  <c r="W36" i="5"/>
  <c r="P36" i="5"/>
  <c r="Q36" i="5" s="1"/>
  <c r="D68" i="2" s="1"/>
  <c r="W35" i="5"/>
  <c r="P35" i="5"/>
  <c r="Q35" i="5" s="1"/>
  <c r="W34" i="5"/>
  <c r="P34" i="5"/>
  <c r="W33" i="5"/>
  <c r="P33" i="5"/>
  <c r="E65" i="2" s="1"/>
  <c r="W32" i="5"/>
  <c r="Q32" i="5"/>
  <c r="D64" i="2" s="1"/>
  <c r="P32" i="5"/>
  <c r="W31" i="5"/>
  <c r="P31" i="5"/>
  <c r="E63" i="2" s="1"/>
  <c r="W30" i="5"/>
  <c r="P30" i="5"/>
  <c r="Q30" i="5" s="1"/>
  <c r="D62" i="2" s="1"/>
  <c r="W29" i="5"/>
  <c r="P29" i="5"/>
  <c r="Q29" i="5" s="1"/>
  <c r="D61" i="2" s="1"/>
  <c r="W28" i="5"/>
  <c r="Q28" i="5"/>
  <c r="D60" i="2" s="1"/>
  <c r="P28" i="5"/>
  <c r="W27" i="5"/>
  <c r="P27" i="5"/>
  <c r="Q27" i="5" s="1"/>
  <c r="D59" i="2" s="1"/>
  <c r="W26" i="5"/>
  <c r="P26" i="5"/>
  <c r="W25" i="5"/>
  <c r="P25" i="5"/>
  <c r="Q25" i="5" s="1"/>
  <c r="D57" i="2" s="1"/>
  <c r="W24" i="5"/>
  <c r="P24" i="5"/>
  <c r="E56" i="2" s="1"/>
  <c r="W23" i="5"/>
  <c r="P23" i="5"/>
  <c r="E55" i="2" s="1"/>
  <c r="W22" i="5"/>
  <c r="Q22" i="5"/>
  <c r="D54" i="2" s="1"/>
  <c r="P22" i="5"/>
  <c r="W21" i="5"/>
  <c r="P21" i="5"/>
  <c r="Q21" i="5" s="1"/>
  <c r="D53" i="2" s="1"/>
  <c r="W20" i="5"/>
  <c r="P20" i="5"/>
  <c r="Q20" i="5" s="1"/>
  <c r="D52" i="2" s="1"/>
  <c r="W19" i="5"/>
  <c r="P19" i="5"/>
  <c r="Q19" i="5" s="1"/>
  <c r="D51" i="2" s="1"/>
  <c r="W18" i="5"/>
  <c r="P18" i="5"/>
  <c r="W17" i="5"/>
  <c r="P17" i="5"/>
  <c r="E49" i="2" s="1"/>
  <c r="W16" i="5"/>
  <c r="P16" i="5"/>
  <c r="Q16" i="5" s="1"/>
  <c r="D48" i="2" s="1"/>
  <c r="W15" i="5"/>
  <c r="P15" i="5"/>
  <c r="E47" i="2" s="1"/>
  <c r="W14" i="5"/>
  <c r="P14" i="5"/>
  <c r="E46" i="2" s="1"/>
  <c r="W13" i="5"/>
  <c r="P13" i="5"/>
  <c r="Q13" i="5" s="1"/>
  <c r="D45" i="2" s="1"/>
  <c r="W12" i="5"/>
  <c r="P12" i="5"/>
  <c r="E44" i="2" s="1"/>
  <c r="W11" i="5"/>
  <c r="P11" i="5"/>
  <c r="Q11" i="5" s="1"/>
  <c r="D43" i="2" s="1"/>
  <c r="W10" i="5"/>
  <c r="P10" i="5"/>
  <c r="W9" i="5"/>
  <c r="P9" i="5"/>
  <c r="E41" i="2" s="1"/>
  <c r="W8" i="5"/>
  <c r="Q8" i="5"/>
  <c r="D40" i="2" s="1"/>
  <c r="P8" i="5"/>
  <c r="E40" i="2" s="1"/>
  <c r="W7" i="5"/>
  <c r="P7" i="5"/>
  <c r="E39" i="2" s="1"/>
  <c r="W6" i="5"/>
  <c r="P6" i="5"/>
  <c r="E38" i="2" s="1"/>
  <c r="W5" i="5"/>
  <c r="P5" i="5"/>
  <c r="Q5" i="5" s="1"/>
  <c r="D37" i="2" s="1"/>
  <c r="W4" i="5"/>
  <c r="P4" i="5"/>
  <c r="Q4" i="5" s="1"/>
  <c r="D36" i="2" s="1"/>
  <c r="W3" i="5"/>
  <c r="P3" i="5"/>
  <c r="Q3" i="5" s="1"/>
  <c r="D35" i="2" s="1"/>
  <c r="K32" i="4"/>
  <c r="K31" i="4"/>
  <c r="K30" i="4"/>
  <c r="K29" i="4"/>
  <c r="K28" i="4"/>
  <c r="K27" i="4"/>
  <c r="K26" i="4"/>
  <c r="K25" i="4"/>
  <c r="K24" i="4"/>
  <c r="K23" i="4"/>
  <c r="K22" i="4"/>
  <c r="K21" i="4"/>
  <c r="K20" i="4"/>
  <c r="K19" i="4"/>
  <c r="K18" i="4"/>
  <c r="K17" i="4"/>
  <c r="K16" i="4"/>
  <c r="K15" i="4"/>
  <c r="K14" i="4"/>
  <c r="K13" i="4"/>
  <c r="K12" i="4"/>
  <c r="K11" i="4"/>
  <c r="K10" i="4"/>
  <c r="K9" i="4"/>
  <c r="K8" i="4"/>
  <c r="K7" i="4"/>
  <c r="K6" i="4"/>
  <c r="K5" i="4"/>
  <c r="K4" i="4"/>
  <c r="K3" i="4"/>
  <c r="C9" i="1"/>
  <c r="A9" i="1"/>
  <c r="E6" i="1"/>
  <c r="C6" i="1"/>
  <c r="A6" i="1"/>
  <c r="AA167" i="2"/>
  <c r="Z167" i="2"/>
  <c r="Y167" i="2"/>
  <c r="X167" i="2"/>
  <c r="W167" i="2"/>
  <c r="V167" i="2"/>
  <c r="T167" i="2"/>
  <c r="Q167" i="2"/>
  <c r="P167" i="2"/>
  <c r="O167" i="2"/>
  <c r="N167" i="2"/>
  <c r="M167" i="2"/>
  <c r="H167" i="2"/>
  <c r="G167" i="2"/>
  <c r="F167" i="2"/>
  <c r="C167" i="2"/>
  <c r="B167" i="2"/>
  <c r="AA166" i="2"/>
  <c r="Z166" i="2"/>
  <c r="Y166" i="2"/>
  <c r="X166" i="2"/>
  <c r="W166" i="2"/>
  <c r="V166" i="2"/>
  <c r="T166" i="2"/>
  <c r="Q166" i="2"/>
  <c r="P166" i="2"/>
  <c r="O166" i="2"/>
  <c r="N166" i="2"/>
  <c r="M166" i="2"/>
  <c r="H166" i="2"/>
  <c r="G166" i="2"/>
  <c r="F166" i="2"/>
  <c r="E166" i="2"/>
  <c r="C166" i="2"/>
  <c r="B166" i="2"/>
  <c r="AA165" i="2"/>
  <c r="Z165" i="2"/>
  <c r="Y165" i="2"/>
  <c r="X165" i="2"/>
  <c r="W165" i="2"/>
  <c r="V165" i="2"/>
  <c r="T165" i="2"/>
  <c r="Q165" i="2"/>
  <c r="P165" i="2"/>
  <c r="O165" i="2"/>
  <c r="N165" i="2"/>
  <c r="M165" i="2"/>
  <c r="H165" i="2"/>
  <c r="G165" i="2"/>
  <c r="F165" i="2"/>
  <c r="C165" i="2"/>
  <c r="B165" i="2"/>
  <c r="AA164" i="2"/>
  <c r="Z164" i="2"/>
  <c r="Y164" i="2"/>
  <c r="X164" i="2"/>
  <c r="W164" i="2"/>
  <c r="V164" i="2"/>
  <c r="T164" i="2"/>
  <c r="Q164" i="2"/>
  <c r="P164" i="2"/>
  <c r="O164" i="2"/>
  <c r="N164" i="2"/>
  <c r="M164" i="2"/>
  <c r="H164" i="2"/>
  <c r="G164" i="2"/>
  <c r="F164" i="2"/>
  <c r="E164" i="2"/>
  <c r="C164" i="2"/>
  <c r="B164" i="2"/>
  <c r="AA163" i="2"/>
  <c r="Z163" i="2"/>
  <c r="Y163" i="2"/>
  <c r="X163" i="2"/>
  <c r="W163" i="2"/>
  <c r="V163" i="2"/>
  <c r="T163" i="2"/>
  <c r="Q163" i="2"/>
  <c r="P163" i="2"/>
  <c r="O163" i="2"/>
  <c r="N163" i="2"/>
  <c r="M163" i="2"/>
  <c r="H163" i="2"/>
  <c r="G163" i="2"/>
  <c r="F163" i="2"/>
  <c r="D163" i="2"/>
  <c r="C163" i="2"/>
  <c r="B163" i="2"/>
  <c r="AA162" i="2"/>
  <c r="Z162" i="2"/>
  <c r="Y162" i="2"/>
  <c r="X162" i="2"/>
  <c r="W162" i="2"/>
  <c r="V162" i="2"/>
  <c r="T162" i="2"/>
  <c r="Q162" i="2"/>
  <c r="P162" i="2"/>
  <c r="O162" i="2"/>
  <c r="N162" i="2"/>
  <c r="M162" i="2"/>
  <c r="H162" i="2"/>
  <c r="G162" i="2"/>
  <c r="F162" i="2"/>
  <c r="C162" i="2"/>
  <c r="B162" i="2"/>
  <c r="AA161" i="2"/>
  <c r="Z161" i="2"/>
  <c r="Y161" i="2"/>
  <c r="X161" i="2"/>
  <c r="W161" i="2"/>
  <c r="V161" i="2"/>
  <c r="T161" i="2"/>
  <c r="Q161" i="2"/>
  <c r="P161" i="2"/>
  <c r="O161" i="2"/>
  <c r="N161" i="2"/>
  <c r="M161" i="2"/>
  <c r="H161" i="2"/>
  <c r="G161" i="2"/>
  <c r="F161" i="2"/>
  <c r="C161" i="2"/>
  <c r="B161" i="2"/>
  <c r="AA160" i="2"/>
  <c r="Z160" i="2"/>
  <c r="Y160" i="2"/>
  <c r="X160" i="2"/>
  <c r="W160" i="2"/>
  <c r="V160" i="2"/>
  <c r="T160" i="2"/>
  <c r="Q160" i="2"/>
  <c r="P160" i="2"/>
  <c r="O160" i="2"/>
  <c r="N160" i="2"/>
  <c r="M160" i="2"/>
  <c r="H160" i="2"/>
  <c r="G160" i="2"/>
  <c r="F160" i="2"/>
  <c r="E160" i="2"/>
  <c r="D160" i="2"/>
  <c r="C160" i="2"/>
  <c r="B160" i="2"/>
  <c r="AA159" i="2"/>
  <c r="Z159" i="2"/>
  <c r="Y159" i="2"/>
  <c r="X159" i="2"/>
  <c r="W159" i="2"/>
  <c r="V159" i="2"/>
  <c r="T159" i="2"/>
  <c r="Q159" i="2"/>
  <c r="P159" i="2"/>
  <c r="O159" i="2"/>
  <c r="N159" i="2"/>
  <c r="M159" i="2"/>
  <c r="S159" i="2" s="1"/>
  <c r="H159" i="2"/>
  <c r="G159" i="2"/>
  <c r="F159" i="2"/>
  <c r="C159" i="2"/>
  <c r="B159" i="2"/>
  <c r="AA158" i="2"/>
  <c r="Z158" i="2"/>
  <c r="Y158" i="2"/>
  <c r="X158" i="2"/>
  <c r="W158" i="2"/>
  <c r="V158" i="2"/>
  <c r="T158" i="2"/>
  <c r="Q158" i="2"/>
  <c r="P158" i="2"/>
  <c r="O158" i="2"/>
  <c r="N158" i="2"/>
  <c r="M158" i="2"/>
  <c r="H158" i="2"/>
  <c r="G158" i="2"/>
  <c r="F158" i="2"/>
  <c r="C158" i="2"/>
  <c r="B158" i="2"/>
  <c r="AA157" i="2"/>
  <c r="Z157" i="2"/>
  <c r="Y157" i="2"/>
  <c r="X157" i="2"/>
  <c r="W157" i="2"/>
  <c r="V157" i="2"/>
  <c r="T157" i="2"/>
  <c r="Q157" i="2"/>
  <c r="P157" i="2"/>
  <c r="O157" i="2"/>
  <c r="N157" i="2"/>
  <c r="M157" i="2"/>
  <c r="H157" i="2"/>
  <c r="G157" i="2"/>
  <c r="F157" i="2"/>
  <c r="C157" i="2"/>
  <c r="B157" i="2"/>
  <c r="AA156" i="2"/>
  <c r="Z156" i="2"/>
  <c r="Y156" i="2"/>
  <c r="X156" i="2"/>
  <c r="W156" i="2"/>
  <c r="V156" i="2"/>
  <c r="T156" i="2"/>
  <c r="S156" i="2"/>
  <c r="Q156" i="2"/>
  <c r="P156" i="2"/>
  <c r="O156" i="2"/>
  <c r="N156" i="2"/>
  <c r="M156" i="2"/>
  <c r="H156" i="2"/>
  <c r="G156" i="2"/>
  <c r="F156" i="2"/>
  <c r="C156" i="2"/>
  <c r="B156" i="2"/>
  <c r="AA155" i="2"/>
  <c r="Z155" i="2"/>
  <c r="Y155" i="2"/>
  <c r="X155" i="2"/>
  <c r="W155" i="2"/>
  <c r="V155" i="2"/>
  <c r="T155" i="2"/>
  <c r="Q155" i="2"/>
  <c r="P155" i="2"/>
  <c r="O155" i="2"/>
  <c r="N155" i="2"/>
  <c r="M155" i="2"/>
  <c r="H155" i="2"/>
  <c r="G155" i="2"/>
  <c r="F155" i="2"/>
  <c r="C155" i="2"/>
  <c r="B155" i="2"/>
  <c r="AA154" i="2"/>
  <c r="Z154" i="2"/>
  <c r="Y154" i="2"/>
  <c r="X154" i="2"/>
  <c r="W154" i="2"/>
  <c r="V154" i="2"/>
  <c r="T154" i="2"/>
  <c r="Q154" i="2"/>
  <c r="P154" i="2"/>
  <c r="O154" i="2"/>
  <c r="N154" i="2"/>
  <c r="M154" i="2"/>
  <c r="H154" i="2"/>
  <c r="G154" i="2"/>
  <c r="F154" i="2"/>
  <c r="C154" i="2"/>
  <c r="B154" i="2"/>
  <c r="AA153" i="2"/>
  <c r="Z153" i="2"/>
  <c r="Y153" i="2"/>
  <c r="X153" i="2"/>
  <c r="W153" i="2"/>
  <c r="V153" i="2"/>
  <c r="T153" i="2"/>
  <c r="Q153" i="2"/>
  <c r="P153" i="2"/>
  <c r="O153" i="2"/>
  <c r="N153" i="2"/>
  <c r="M153" i="2"/>
  <c r="H153" i="2"/>
  <c r="G153" i="2"/>
  <c r="F153" i="2"/>
  <c r="C153" i="2"/>
  <c r="B153" i="2"/>
  <c r="AA152" i="2"/>
  <c r="Z152" i="2"/>
  <c r="Y152" i="2"/>
  <c r="X152" i="2"/>
  <c r="W152" i="2"/>
  <c r="V152" i="2"/>
  <c r="T152" i="2"/>
  <c r="Q152" i="2"/>
  <c r="P152" i="2"/>
  <c r="O152" i="2"/>
  <c r="N152" i="2"/>
  <c r="M152" i="2"/>
  <c r="H152" i="2"/>
  <c r="G152" i="2"/>
  <c r="F152" i="2"/>
  <c r="C152" i="2"/>
  <c r="B152" i="2"/>
  <c r="AA151" i="2"/>
  <c r="Z151" i="2"/>
  <c r="Y151" i="2"/>
  <c r="X151" i="2"/>
  <c r="W151" i="2"/>
  <c r="V151" i="2"/>
  <c r="T151" i="2"/>
  <c r="Q151" i="2"/>
  <c r="P151" i="2"/>
  <c r="O151" i="2"/>
  <c r="N151" i="2"/>
  <c r="M151" i="2"/>
  <c r="H151" i="2"/>
  <c r="G151" i="2"/>
  <c r="F151" i="2"/>
  <c r="C151" i="2"/>
  <c r="B151" i="2"/>
  <c r="AA150" i="2"/>
  <c r="Z150" i="2"/>
  <c r="Y150" i="2"/>
  <c r="X150" i="2"/>
  <c r="W150" i="2"/>
  <c r="V150" i="2"/>
  <c r="T150" i="2"/>
  <c r="S150" i="2"/>
  <c r="Q150" i="2"/>
  <c r="P150" i="2"/>
  <c r="O150" i="2"/>
  <c r="N150" i="2"/>
  <c r="M150" i="2"/>
  <c r="H150" i="2"/>
  <c r="G150" i="2"/>
  <c r="F150" i="2"/>
  <c r="E150" i="2"/>
  <c r="C150" i="2"/>
  <c r="B150" i="2"/>
  <c r="AA149" i="2"/>
  <c r="Z149" i="2"/>
  <c r="Y149" i="2"/>
  <c r="X149" i="2"/>
  <c r="W149" i="2"/>
  <c r="V149" i="2"/>
  <c r="T149" i="2"/>
  <c r="Q149" i="2"/>
  <c r="P149" i="2"/>
  <c r="O149" i="2"/>
  <c r="N149" i="2"/>
  <c r="M149" i="2"/>
  <c r="H149" i="2"/>
  <c r="G149" i="2"/>
  <c r="F149" i="2"/>
  <c r="C149" i="2"/>
  <c r="B149" i="2"/>
  <c r="AA148" i="2"/>
  <c r="Z148" i="2"/>
  <c r="Y148" i="2"/>
  <c r="X148" i="2"/>
  <c r="W148" i="2"/>
  <c r="V148" i="2"/>
  <c r="T148" i="2"/>
  <c r="Q148" i="2"/>
  <c r="P148" i="2"/>
  <c r="O148" i="2"/>
  <c r="N148" i="2"/>
  <c r="M148" i="2"/>
  <c r="H148" i="2"/>
  <c r="G148" i="2"/>
  <c r="F148" i="2"/>
  <c r="E148" i="2"/>
  <c r="C148" i="2"/>
  <c r="B148" i="2"/>
  <c r="AA147" i="2"/>
  <c r="Z147" i="2"/>
  <c r="Y147" i="2"/>
  <c r="X147" i="2"/>
  <c r="W147" i="2"/>
  <c r="V147" i="2"/>
  <c r="T147" i="2"/>
  <c r="Q147" i="2"/>
  <c r="P147" i="2"/>
  <c r="O147" i="2"/>
  <c r="N147" i="2"/>
  <c r="M147" i="2"/>
  <c r="H147" i="2"/>
  <c r="G147" i="2"/>
  <c r="F147" i="2"/>
  <c r="E147" i="2"/>
  <c r="C147" i="2"/>
  <c r="B147" i="2"/>
  <c r="AA146" i="2"/>
  <c r="Z146" i="2"/>
  <c r="Y146" i="2"/>
  <c r="X146" i="2"/>
  <c r="W146" i="2"/>
  <c r="V146" i="2"/>
  <c r="T146" i="2"/>
  <c r="Q146" i="2"/>
  <c r="P146" i="2"/>
  <c r="O146" i="2"/>
  <c r="N146" i="2"/>
  <c r="M146" i="2"/>
  <c r="R146" i="2" s="1"/>
  <c r="H146" i="2"/>
  <c r="G146" i="2"/>
  <c r="F146" i="2"/>
  <c r="C146" i="2"/>
  <c r="B146" i="2"/>
  <c r="AA145" i="2"/>
  <c r="Z145" i="2"/>
  <c r="Y145" i="2"/>
  <c r="X145" i="2"/>
  <c r="W145" i="2"/>
  <c r="V145" i="2"/>
  <c r="T145" i="2"/>
  <c r="Q145" i="2"/>
  <c r="P145" i="2"/>
  <c r="O145" i="2"/>
  <c r="N145" i="2"/>
  <c r="M145" i="2"/>
  <c r="H145" i="2"/>
  <c r="G145" i="2"/>
  <c r="F145" i="2"/>
  <c r="C145" i="2"/>
  <c r="B145" i="2"/>
  <c r="AA144" i="2"/>
  <c r="Z144" i="2"/>
  <c r="Y144" i="2"/>
  <c r="X144" i="2"/>
  <c r="W144" i="2"/>
  <c r="V144" i="2"/>
  <c r="T144" i="2"/>
  <c r="Q144" i="2"/>
  <c r="P144" i="2"/>
  <c r="O144" i="2"/>
  <c r="N144" i="2"/>
  <c r="M144" i="2"/>
  <c r="H144" i="2"/>
  <c r="G144" i="2"/>
  <c r="F144" i="2"/>
  <c r="E144" i="2"/>
  <c r="D144" i="2"/>
  <c r="C144" i="2"/>
  <c r="B144" i="2"/>
  <c r="AA143" i="2"/>
  <c r="Z143" i="2"/>
  <c r="Y143" i="2"/>
  <c r="X143" i="2"/>
  <c r="W143" i="2"/>
  <c r="V143" i="2"/>
  <c r="T143" i="2"/>
  <c r="Q143" i="2"/>
  <c r="P143" i="2"/>
  <c r="O143" i="2"/>
  <c r="N143" i="2"/>
  <c r="M143" i="2"/>
  <c r="H143" i="2"/>
  <c r="G143" i="2"/>
  <c r="F143" i="2"/>
  <c r="C143" i="2"/>
  <c r="B143" i="2"/>
  <c r="AA142" i="2"/>
  <c r="Z142" i="2"/>
  <c r="Y142" i="2"/>
  <c r="X142" i="2"/>
  <c r="W142" i="2"/>
  <c r="V142" i="2"/>
  <c r="T142" i="2"/>
  <c r="Q142" i="2"/>
  <c r="P142" i="2"/>
  <c r="O142" i="2"/>
  <c r="N142" i="2"/>
  <c r="M142" i="2"/>
  <c r="H142" i="2"/>
  <c r="G142" i="2"/>
  <c r="F142" i="2"/>
  <c r="C142" i="2"/>
  <c r="B142" i="2"/>
  <c r="AA141" i="2"/>
  <c r="Z141" i="2"/>
  <c r="Y141" i="2"/>
  <c r="X141" i="2"/>
  <c r="W141" i="2"/>
  <c r="V141" i="2"/>
  <c r="T141" i="2"/>
  <c r="Q141" i="2"/>
  <c r="P141" i="2"/>
  <c r="O141" i="2"/>
  <c r="N141" i="2"/>
  <c r="M141" i="2"/>
  <c r="H141" i="2"/>
  <c r="G141" i="2"/>
  <c r="F141" i="2"/>
  <c r="C141" i="2"/>
  <c r="B141" i="2"/>
  <c r="AA140" i="2"/>
  <c r="Z140" i="2"/>
  <c r="Y140" i="2"/>
  <c r="X140" i="2"/>
  <c r="W140" i="2"/>
  <c r="V140" i="2"/>
  <c r="T140" i="2"/>
  <c r="Q140" i="2"/>
  <c r="P140" i="2"/>
  <c r="O140" i="2"/>
  <c r="N140" i="2"/>
  <c r="M140" i="2"/>
  <c r="H140" i="2"/>
  <c r="G140" i="2"/>
  <c r="F140" i="2"/>
  <c r="E140" i="2"/>
  <c r="C140" i="2"/>
  <c r="B140" i="2"/>
  <c r="AA139" i="2"/>
  <c r="Z139" i="2"/>
  <c r="Y139" i="2"/>
  <c r="X139" i="2"/>
  <c r="W139" i="2"/>
  <c r="V139" i="2"/>
  <c r="T139" i="2"/>
  <c r="Q139" i="2"/>
  <c r="P139" i="2"/>
  <c r="O139" i="2"/>
  <c r="N139" i="2"/>
  <c r="M139" i="2"/>
  <c r="H139" i="2"/>
  <c r="G139" i="2"/>
  <c r="F139" i="2"/>
  <c r="C139" i="2"/>
  <c r="B139" i="2"/>
  <c r="AA138" i="2"/>
  <c r="Z138" i="2"/>
  <c r="Y138" i="2"/>
  <c r="X138" i="2"/>
  <c r="W138" i="2"/>
  <c r="V138" i="2"/>
  <c r="T138" i="2"/>
  <c r="Q138" i="2"/>
  <c r="P138" i="2"/>
  <c r="O138" i="2"/>
  <c r="N138" i="2"/>
  <c r="M138" i="2"/>
  <c r="H138" i="2"/>
  <c r="G138" i="2"/>
  <c r="F138" i="2"/>
  <c r="C138" i="2"/>
  <c r="B138" i="2"/>
  <c r="AA137" i="2"/>
  <c r="Z137" i="2"/>
  <c r="Y137" i="2"/>
  <c r="X137" i="2"/>
  <c r="W137" i="2"/>
  <c r="V137" i="2"/>
  <c r="T137" i="2"/>
  <c r="Q137" i="2"/>
  <c r="P137" i="2"/>
  <c r="O137" i="2"/>
  <c r="N137" i="2"/>
  <c r="M137" i="2"/>
  <c r="H137" i="2"/>
  <c r="G137" i="2"/>
  <c r="F137" i="2"/>
  <c r="E137" i="2"/>
  <c r="C137" i="2"/>
  <c r="B137" i="2"/>
  <c r="AA136" i="2"/>
  <c r="Z136" i="2"/>
  <c r="Y136" i="2"/>
  <c r="X136" i="2"/>
  <c r="W136" i="2"/>
  <c r="V136" i="2"/>
  <c r="T136" i="2"/>
  <c r="Q136" i="2"/>
  <c r="P136" i="2"/>
  <c r="O136" i="2"/>
  <c r="N136" i="2"/>
  <c r="M136" i="2"/>
  <c r="H136" i="2"/>
  <c r="G136" i="2"/>
  <c r="F136" i="2"/>
  <c r="C136" i="2"/>
  <c r="B136" i="2"/>
  <c r="AA135" i="2"/>
  <c r="Z135" i="2"/>
  <c r="Y135" i="2"/>
  <c r="X135" i="2"/>
  <c r="W135" i="2"/>
  <c r="V135" i="2"/>
  <c r="T135" i="2"/>
  <c r="Q135" i="2"/>
  <c r="P135" i="2"/>
  <c r="O135" i="2"/>
  <c r="N135" i="2"/>
  <c r="M135" i="2"/>
  <c r="H135" i="2"/>
  <c r="G135" i="2"/>
  <c r="F135" i="2"/>
  <c r="C135" i="2"/>
  <c r="B135" i="2"/>
  <c r="AA134" i="2"/>
  <c r="Z134" i="2"/>
  <c r="Y134" i="2"/>
  <c r="X134" i="2"/>
  <c r="W134" i="2"/>
  <c r="V134" i="2"/>
  <c r="T134" i="2"/>
  <c r="Q134" i="2"/>
  <c r="P134" i="2"/>
  <c r="O134" i="2"/>
  <c r="N134" i="2"/>
  <c r="M134" i="2"/>
  <c r="H134" i="2"/>
  <c r="G134" i="2"/>
  <c r="F134" i="2"/>
  <c r="E134" i="2"/>
  <c r="C134" i="2"/>
  <c r="B134" i="2"/>
  <c r="AA133" i="2"/>
  <c r="Z133" i="2"/>
  <c r="Y133" i="2"/>
  <c r="X133" i="2"/>
  <c r="W133" i="2"/>
  <c r="V133" i="2"/>
  <c r="T133" i="2"/>
  <c r="Q133" i="2"/>
  <c r="P133" i="2"/>
  <c r="O133" i="2"/>
  <c r="N133" i="2"/>
  <c r="M133" i="2"/>
  <c r="H133" i="2"/>
  <c r="G133" i="2"/>
  <c r="F133" i="2"/>
  <c r="C133" i="2"/>
  <c r="B133" i="2"/>
  <c r="AA132" i="2"/>
  <c r="Z132" i="2"/>
  <c r="Y132" i="2"/>
  <c r="X132" i="2"/>
  <c r="W132" i="2"/>
  <c r="V132" i="2"/>
  <c r="T132" i="2"/>
  <c r="S132" i="2"/>
  <c r="Q132" i="2"/>
  <c r="P132" i="2"/>
  <c r="O132" i="2"/>
  <c r="N132" i="2"/>
  <c r="M132" i="2"/>
  <c r="H132" i="2"/>
  <c r="G132" i="2"/>
  <c r="F132" i="2"/>
  <c r="E132" i="2"/>
  <c r="C132" i="2"/>
  <c r="B132" i="2"/>
  <c r="AA131" i="2"/>
  <c r="Z131" i="2"/>
  <c r="Y131" i="2"/>
  <c r="X131" i="2"/>
  <c r="W131" i="2"/>
  <c r="V131" i="2"/>
  <c r="T131" i="2"/>
  <c r="Q131" i="2"/>
  <c r="P131" i="2"/>
  <c r="O131" i="2"/>
  <c r="N131" i="2"/>
  <c r="M131" i="2"/>
  <c r="H131" i="2"/>
  <c r="G131" i="2"/>
  <c r="F131" i="2"/>
  <c r="E131" i="2"/>
  <c r="C131" i="2"/>
  <c r="B131" i="2"/>
  <c r="AA130" i="2"/>
  <c r="Z130" i="2"/>
  <c r="Y130" i="2"/>
  <c r="X130" i="2"/>
  <c r="W130" i="2"/>
  <c r="V130" i="2"/>
  <c r="T130" i="2"/>
  <c r="Q130" i="2"/>
  <c r="P130" i="2"/>
  <c r="O130" i="2"/>
  <c r="N130" i="2"/>
  <c r="M130" i="2"/>
  <c r="H130" i="2"/>
  <c r="G130" i="2"/>
  <c r="F130" i="2"/>
  <c r="C130" i="2"/>
  <c r="B130" i="2"/>
  <c r="AA129" i="2"/>
  <c r="Z129" i="2"/>
  <c r="Y129" i="2"/>
  <c r="X129" i="2"/>
  <c r="W129" i="2"/>
  <c r="V129" i="2"/>
  <c r="T129" i="2"/>
  <c r="S129" i="2"/>
  <c r="Q129" i="2"/>
  <c r="P129" i="2"/>
  <c r="O129" i="2"/>
  <c r="N129" i="2"/>
  <c r="M129" i="2"/>
  <c r="H129" i="2"/>
  <c r="G129" i="2"/>
  <c r="F129" i="2"/>
  <c r="E129" i="2"/>
  <c r="C129" i="2"/>
  <c r="B129" i="2"/>
  <c r="AA128" i="2"/>
  <c r="Z128" i="2"/>
  <c r="Y128" i="2"/>
  <c r="X128" i="2"/>
  <c r="W128" i="2"/>
  <c r="V128" i="2"/>
  <c r="T128" i="2"/>
  <c r="Q128" i="2"/>
  <c r="P128" i="2"/>
  <c r="O128" i="2"/>
  <c r="N128" i="2"/>
  <c r="M128" i="2"/>
  <c r="H128" i="2"/>
  <c r="G128" i="2"/>
  <c r="F128" i="2"/>
  <c r="E128" i="2"/>
  <c r="C128" i="2"/>
  <c r="B128" i="2"/>
  <c r="AA127" i="2"/>
  <c r="Z127" i="2"/>
  <c r="Y127" i="2"/>
  <c r="X127" i="2"/>
  <c r="W127" i="2"/>
  <c r="V127" i="2"/>
  <c r="T127" i="2"/>
  <c r="Q127" i="2"/>
  <c r="P127" i="2"/>
  <c r="O127" i="2"/>
  <c r="N127" i="2"/>
  <c r="M127" i="2"/>
  <c r="H127" i="2"/>
  <c r="G127" i="2"/>
  <c r="F127" i="2"/>
  <c r="C127" i="2"/>
  <c r="B127" i="2"/>
  <c r="AA126" i="2"/>
  <c r="Z126" i="2"/>
  <c r="Y126" i="2"/>
  <c r="X126" i="2"/>
  <c r="W126" i="2"/>
  <c r="V126" i="2"/>
  <c r="T126" i="2"/>
  <c r="Q126" i="2"/>
  <c r="P126" i="2"/>
  <c r="O126" i="2"/>
  <c r="N126" i="2"/>
  <c r="M126" i="2"/>
  <c r="S126" i="2" s="1"/>
  <c r="H126" i="2"/>
  <c r="G126" i="2"/>
  <c r="F126" i="2"/>
  <c r="E126" i="2"/>
  <c r="C126" i="2"/>
  <c r="B126" i="2"/>
  <c r="AA125" i="2"/>
  <c r="Z125" i="2"/>
  <c r="Y125" i="2"/>
  <c r="X125" i="2"/>
  <c r="W125" i="2"/>
  <c r="V125" i="2"/>
  <c r="T125" i="2"/>
  <c r="Q125" i="2"/>
  <c r="P125" i="2"/>
  <c r="O125" i="2"/>
  <c r="N125" i="2"/>
  <c r="M125" i="2"/>
  <c r="H125" i="2"/>
  <c r="G125" i="2"/>
  <c r="F125" i="2"/>
  <c r="E125" i="2"/>
  <c r="C125" i="2"/>
  <c r="B125" i="2"/>
  <c r="AA124" i="2"/>
  <c r="Z124" i="2"/>
  <c r="Y124" i="2"/>
  <c r="X124" i="2"/>
  <c r="W124" i="2"/>
  <c r="S124" i="2" s="1"/>
  <c r="V124" i="2"/>
  <c r="T124" i="2"/>
  <c r="Q124" i="2"/>
  <c r="P124" i="2"/>
  <c r="O124" i="2"/>
  <c r="N124" i="2"/>
  <c r="M124" i="2"/>
  <c r="H124" i="2"/>
  <c r="G124" i="2"/>
  <c r="F124" i="2"/>
  <c r="C124" i="2"/>
  <c r="B124" i="2"/>
  <c r="AA123" i="2"/>
  <c r="Z123" i="2"/>
  <c r="Y123" i="2"/>
  <c r="X123" i="2"/>
  <c r="W123" i="2"/>
  <c r="V123" i="2"/>
  <c r="T123" i="2"/>
  <c r="Q123" i="2"/>
  <c r="P123" i="2"/>
  <c r="O123" i="2"/>
  <c r="N123" i="2"/>
  <c r="M123" i="2"/>
  <c r="H123" i="2"/>
  <c r="G123" i="2"/>
  <c r="F123" i="2"/>
  <c r="E123" i="2"/>
  <c r="C123" i="2"/>
  <c r="B123" i="2"/>
  <c r="AA122" i="2"/>
  <c r="Z122" i="2"/>
  <c r="Y122" i="2"/>
  <c r="X122" i="2"/>
  <c r="W122" i="2"/>
  <c r="V122" i="2"/>
  <c r="T122" i="2"/>
  <c r="Q122" i="2"/>
  <c r="P122" i="2"/>
  <c r="O122" i="2"/>
  <c r="N122" i="2"/>
  <c r="M122" i="2"/>
  <c r="H122" i="2"/>
  <c r="G122" i="2"/>
  <c r="F122" i="2"/>
  <c r="C122" i="2"/>
  <c r="B122" i="2"/>
  <c r="AA121" i="2"/>
  <c r="Z121" i="2"/>
  <c r="Y121" i="2"/>
  <c r="X121" i="2"/>
  <c r="W121" i="2"/>
  <c r="V121" i="2"/>
  <c r="T121" i="2"/>
  <c r="Q121" i="2"/>
  <c r="P121" i="2"/>
  <c r="O121" i="2"/>
  <c r="N121" i="2"/>
  <c r="M121" i="2"/>
  <c r="H121" i="2"/>
  <c r="G121" i="2"/>
  <c r="F121" i="2"/>
  <c r="E121" i="2"/>
  <c r="C121" i="2"/>
  <c r="B121" i="2"/>
  <c r="AA120" i="2"/>
  <c r="Z120" i="2"/>
  <c r="Y120" i="2"/>
  <c r="X120" i="2"/>
  <c r="W120" i="2"/>
  <c r="V120" i="2"/>
  <c r="T120" i="2"/>
  <c r="Q120" i="2"/>
  <c r="P120" i="2"/>
  <c r="O120" i="2"/>
  <c r="N120" i="2"/>
  <c r="M120" i="2"/>
  <c r="H120" i="2"/>
  <c r="G120" i="2"/>
  <c r="F120" i="2"/>
  <c r="E120" i="2"/>
  <c r="C120" i="2"/>
  <c r="B120" i="2"/>
  <c r="AA119" i="2"/>
  <c r="Z119" i="2"/>
  <c r="Y119" i="2"/>
  <c r="X119" i="2"/>
  <c r="W119" i="2"/>
  <c r="V119" i="2"/>
  <c r="T119" i="2"/>
  <c r="Q119" i="2"/>
  <c r="P119" i="2"/>
  <c r="O119" i="2"/>
  <c r="N119" i="2"/>
  <c r="M119" i="2"/>
  <c r="H119" i="2"/>
  <c r="G119" i="2"/>
  <c r="F119" i="2"/>
  <c r="C119" i="2"/>
  <c r="B119" i="2"/>
  <c r="AA118" i="2"/>
  <c r="Z118" i="2"/>
  <c r="Y118" i="2"/>
  <c r="X118" i="2"/>
  <c r="W118" i="2"/>
  <c r="V118" i="2"/>
  <c r="T118" i="2"/>
  <c r="Q118" i="2"/>
  <c r="P118" i="2"/>
  <c r="O118" i="2"/>
  <c r="N118" i="2"/>
  <c r="M118" i="2"/>
  <c r="H118" i="2"/>
  <c r="G118" i="2"/>
  <c r="F118" i="2"/>
  <c r="E118" i="2"/>
  <c r="C118" i="2"/>
  <c r="B118" i="2"/>
  <c r="AA117" i="2"/>
  <c r="Z117" i="2"/>
  <c r="Y117" i="2"/>
  <c r="X117" i="2"/>
  <c r="W117" i="2"/>
  <c r="V117" i="2"/>
  <c r="T117" i="2"/>
  <c r="Q117" i="2"/>
  <c r="P117" i="2"/>
  <c r="O117" i="2"/>
  <c r="N117" i="2"/>
  <c r="M117" i="2"/>
  <c r="H117" i="2"/>
  <c r="G117" i="2"/>
  <c r="F117" i="2"/>
  <c r="C117" i="2"/>
  <c r="B117" i="2"/>
  <c r="AA116" i="2"/>
  <c r="Z116" i="2"/>
  <c r="Y116" i="2"/>
  <c r="X116" i="2"/>
  <c r="W116" i="2"/>
  <c r="V116" i="2"/>
  <c r="T116" i="2"/>
  <c r="Q116" i="2"/>
  <c r="P116" i="2"/>
  <c r="O116" i="2"/>
  <c r="N116" i="2"/>
  <c r="M116" i="2"/>
  <c r="H116" i="2"/>
  <c r="G116" i="2"/>
  <c r="F116" i="2"/>
  <c r="C116" i="2"/>
  <c r="B116" i="2"/>
  <c r="AA115" i="2"/>
  <c r="Z115" i="2"/>
  <c r="Y115" i="2"/>
  <c r="X115" i="2"/>
  <c r="W115" i="2"/>
  <c r="V115" i="2"/>
  <c r="T115" i="2"/>
  <c r="Q115" i="2"/>
  <c r="P115" i="2"/>
  <c r="O115" i="2"/>
  <c r="N115" i="2"/>
  <c r="M115" i="2"/>
  <c r="H115" i="2"/>
  <c r="G115" i="2"/>
  <c r="F115" i="2"/>
  <c r="E115" i="2"/>
  <c r="D115" i="2"/>
  <c r="C115" i="2"/>
  <c r="B115" i="2"/>
  <c r="AA114" i="2"/>
  <c r="Z114" i="2"/>
  <c r="Y114" i="2"/>
  <c r="X114" i="2"/>
  <c r="W114" i="2"/>
  <c r="V114" i="2"/>
  <c r="T114" i="2"/>
  <c r="Q114" i="2"/>
  <c r="P114" i="2"/>
  <c r="O114" i="2"/>
  <c r="N114" i="2"/>
  <c r="M114" i="2"/>
  <c r="H114" i="2"/>
  <c r="G114" i="2"/>
  <c r="F114" i="2"/>
  <c r="C114" i="2"/>
  <c r="B114" i="2"/>
  <c r="AA113" i="2"/>
  <c r="Z113" i="2"/>
  <c r="Y113" i="2"/>
  <c r="X113" i="2"/>
  <c r="W113" i="2"/>
  <c r="V113" i="2"/>
  <c r="T113" i="2"/>
  <c r="Q113" i="2"/>
  <c r="P113" i="2"/>
  <c r="O113" i="2"/>
  <c r="N113" i="2"/>
  <c r="M113" i="2"/>
  <c r="H113" i="2"/>
  <c r="G113" i="2"/>
  <c r="F113" i="2"/>
  <c r="C113" i="2"/>
  <c r="B113" i="2"/>
  <c r="AA112" i="2"/>
  <c r="Z112" i="2"/>
  <c r="Y112" i="2"/>
  <c r="X112" i="2"/>
  <c r="W112" i="2"/>
  <c r="V112" i="2"/>
  <c r="T112" i="2"/>
  <c r="Q112" i="2"/>
  <c r="P112" i="2"/>
  <c r="O112" i="2"/>
  <c r="N112" i="2"/>
  <c r="M112" i="2"/>
  <c r="H112" i="2"/>
  <c r="G112" i="2"/>
  <c r="F112" i="2"/>
  <c r="E112" i="2"/>
  <c r="C112" i="2"/>
  <c r="B112" i="2"/>
  <c r="AA111" i="2"/>
  <c r="Z111" i="2"/>
  <c r="Y111" i="2"/>
  <c r="X111" i="2"/>
  <c r="W111" i="2"/>
  <c r="V111" i="2"/>
  <c r="T111" i="2"/>
  <c r="Q111" i="2"/>
  <c r="P111" i="2"/>
  <c r="O111" i="2"/>
  <c r="N111" i="2"/>
  <c r="M111" i="2"/>
  <c r="H111" i="2"/>
  <c r="G111" i="2"/>
  <c r="F111" i="2"/>
  <c r="C111" i="2"/>
  <c r="B111" i="2"/>
  <c r="AA110" i="2"/>
  <c r="Z110" i="2"/>
  <c r="Y110" i="2"/>
  <c r="X110" i="2"/>
  <c r="W110" i="2"/>
  <c r="V110" i="2"/>
  <c r="T110" i="2"/>
  <c r="Q110" i="2"/>
  <c r="P110" i="2"/>
  <c r="O110" i="2"/>
  <c r="N110" i="2"/>
  <c r="M110" i="2"/>
  <c r="H110" i="2"/>
  <c r="G110" i="2"/>
  <c r="F110" i="2"/>
  <c r="C110" i="2"/>
  <c r="B110" i="2"/>
  <c r="AA109" i="2"/>
  <c r="Z109" i="2"/>
  <c r="Y109" i="2"/>
  <c r="X109" i="2"/>
  <c r="W109" i="2"/>
  <c r="V109" i="2"/>
  <c r="T109" i="2"/>
  <c r="Q109" i="2"/>
  <c r="P109" i="2"/>
  <c r="O109" i="2"/>
  <c r="N109" i="2"/>
  <c r="M109" i="2"/>
  <c r="H109" i="2"/>
  <c r="G109" i="2"/>
  <c r="F109" i="2"/>
  <c r="E109" i="2"/>
  <c r="C109" i="2"/>
  <c r="B109" i="2"/>
  <c r="AA108" i="2"/>
  <c r="Z108" i="2"/>
  <c r="Y108" i="2"/>
  <c r="X108" i="2"/>
  <c r="W108" i="2"/>
  <c r="V108" i="2"/>
  <c r="T108" i="2"/>
  <c r="Q108" i="2"/>
  <c r="P108" i="2"/>
  <c r="O108" i="2"/>
  <c r="N108" i="2"/>
  <c r="M108" i="2"/>
  <c r="H108" i="2"/>
  <c r="G108" i="2"/>
  <c r="F108" i="2"/>
  <c r="E108" i="2"/>
  <c r="C108" i="2"/>
  <c r="B108" i="2"/>
  <c r="AA107" i="2"/>
  <c r="Z107" i="2"/>
  <c r="Y107" i="2"/>
  <c r="X107" i="2"/>
  <c r="W107" i="2"/>
  <c r="V107" i="2"/>
  <c r="T107" i="2"/>
  <c r="Q107" i="2"/>
  <c r="P107" i="2"/>
  <c r="O107" i="2"/>
  <c r="N107" i="2"/>
  <c r="M107" i="2"/>
  <c r="H107" i="2"/>
  <c r="G107" i="2"/>
  <c r="F107" i="2"/>
  <c r="C107" i="2"/>
  <c r="B107" i="2"/>
  <c r="AA106" i="2"/>
  <c r="Z106" i="2"/>
  <c r="Y106" i="2"/>
  <c r="X106" i="2"/>
  <c r="W106" i="2"/>
  <c r="V106" i="2"/>
  <c r="T106" i="2"/>
  <c r="Q106" i="2"/>
  <c r="P106" i="2"/>
  <c r="O106" i="2"/>
  <c r="N106" i="2"/>
  <c r="M106" i="2"/>
  <c r="H106" i="2"/>
  <c r="G106" i="2"/>
  <c r="F106" i="2"/>
  <c r="C106" i="2"/>
  <c r="B106" i="2"/>
  <c r="AA105" i="2"/>
  <c r="Z105" i="2"/>
  <c r="Y105" i="2"/>
  <c r="X105" i="2"/>
  <c r="W105" i="2"/>
  <c r="V105" i="2"/>
  <c r="T105" i="2"/>
  <c r="Q105" i="2"/>
  <c r="P105" i="2"/>
  <c r="O105" i="2"/>
  <c r="N105" i="2"/>
  <c r="M105" i="2"/>
  <c r="S105" i="2" s="1"/>
  <c r="H105" i="2"/>
  <c r="G105" i="2"/>
  <c r="F105" i="2"/>
  <c r="E105" i="2"/>
  <c r="C105" i="2"/>
  <c r="B105" i="2"/>
  <c r="AA104" i="2"/>
  <c r="Z104" i="2"/>
  <c r="Y104" i="2"/>
  <c r="X104" i="2"/>
  <c r="W104" i="2"/>
  <c r="V104" i="2"/>
  <c r="T104" i="2"/>
  <c r="Q104" i="2"/>
  <c r="P104" i="2"/>
  <c r="O104" i="2"/>
  <c r="N104" i="2"/>
  <c r="M104" i="2"/>
  <c r="H104" i="2"/>
  <c r="G104" i="2"/>
  <c r="F104" i="2"/>
  <c r="C104" i="2"/>
  <c r="B104" i="2"/>
  <c r="AA103" i="2"/>
  <c r="Z103" i="2"/>
  <c r="Y103" i="2"/>
  <c r="X103" i="2"/>
  <c r="W103" i="2"/>
  <c r="V103" i="2"/>
  <c r="T103" i="2"/>
  <c r="Q103" i="2"/>
  <c r="P103" i="2"/>
  <c r="O103" i="2"/>
  <c r="N103" i="2"/>
  <c r="M103" i="2"/>
  <c r="H103" i="2"/>
  <c r="G103" i="2"/>
  <c r="F103" i="2"/>
  <c r="C103" i="2"/>
  <c r="B103" i="2"/>
  <c r="AA102" i="2"/>
  <c r="Z102" i="2"/>
  <c r="Y102" i="2"/>
  <c r="X102" i="2"/>
  <c r="W102" i="2"/>
  <c r="S102" i="2" s="1"/>
  <c r="V102" i="2"/>
  <c r="T102" i="2"/>
  <c r="Q102" i="2"/>
  <c r="P102" i="2"/>
  <c r="O102" i="2"/>
  <c r="N102" i="2"/>
  <c r="M102" i="2"/>
  <c r="H102" i="2"/>
  <c r="G102" i="2"/>
  <c r="F102" i="2"/>
  <c r="E102" i="2"/>
  <c r="C102" i="2"/>
  <c r="B102" i="2"/>
  <c r="AA101" i="2"/>
  <c r="Z101" i="2"/>
  <c r="Y101" i="2"/>
  <c r="X101" i="2"/>
  <c r="W101" i="2"/>
  <c r="V101" i="2"/>
  <c r="T101" i="2"/>
  <c r="Q101" i="2"/>
  <c r="P101" i="2"/>
  <c r="O101" i="2"/>
  <c r="N101" i="2"/>
  <c r="M101" i="2"/>
  <c r="H101" i="2"/>
  <c r="G101" i="2"/>
  <c r="F101" i="2"/>
  <c r="C101" i="2"/>
  <c r="B101" i="2"/>
  <c r="AA100" i="2"/>
  <c r="Z100" i="2"/>
  <c r="Y100" i="2"/>
  <c r="X100" i="2"/>
  <c r="W100" i="2"/>
  <c r="V100" i="2"/>
  <c r="T100" i="2"/>
  <c r="Q100" i="2"/>
  <c r="P100" i="2"/>
  <c r="O100" i="2"/>
  <c r="N100" i="2"/>
  <c r="M100" i="2"/>
  <c r="H100" i="2"/>
  <c r="G100" i="2"/>
  <c r="F100" i="2"/>
  <c r="C100" i="2"/>
  <c r="B100" i="2"/>
  <c r="AA99" i="2"/>
  <c r="Z99" i="2"/>
  <c r="Y99" i="2"/>
  <c r="X99" i="2"/>
  <c r="W99" i="2"/>
  <c r="V99" i="2"/>
  <c r="T99" i="2"/>
  <c r="Q99" i="2"/>
  <c r="P99" i="2"/>
  <c r="O99" i="2"/>
  <c r="N99" i="2"/>
  <c r="M99" i="2"/>
  <c r="H99" i="2"/>
  <c r="G99" i="2"/>
  <c r="F99" i="2"/>
  <c r="E99" i="2"/>
  <c r="C99" i="2"/>
  <c r="B99" i="2"/>
  <c r="AA98" i="2"/>
  <c r="Z98" i="2"/>
  <c r="Y98" i="2"/>
  <c r="X98" i="2"/>
  <c r="W98" i="2"/>
  <c r="V98" i="2"/>
  <c r="T98" i="2"/>
  <c r="Q98" i="2"/>
  <c r="P98" i="2"/>
  <c r="O98" i="2"/>
  <c r="N98" i="2"/>
  <c r="M98" i="2"/>
  <c r="H98" i="2"/>
  <c r="G98" i="2"/>
  <c r="F98" i="2"/>
  <c r="C98" i="2"/>
  <c r="B98" i="2"/>
  <c r="AA97" i="2"/>
  <c r="Z97" i="2"/>
  <c r="Y97" i="2"/>
  <c r="X97" i="2"/>
  <c r="W97" i="2"/>
  <c r="V97" i="2"/>
  <c r="T97" i="2"/>
  <c r="Q97" i="2"/>
  <c r="P97" i="2"/>
  <c r="O97" i="2"/>
  <c r="N97" i="2"/>
  <c r="M97" i="2"/>
  <c r="H97" i="2"/>
  <c r="G97" i="2"/>
  <c r="F97" i="2"/>
  <c r="C97" i="2"/>
  <c r="B97" i="2"/>
  <c r="AA96" i="2"/>
  <c r="Z96" i="2"/>
  <c r="Y96" i="2"/>
  <c r="X96" i="2"/>
  <c r="W96" i="2"/>
  <c r="V96" i="2"/>
  <c r="T96" i="2"/>
  <c r="Q96" i="2"/>
  <c r="P96" i="2"/>
  <c r="O96" i="2"/>
  <c r="N96" i="2"/>
  <c r="M96" i="2"/>
  <c r="H96" i="2"/>
  <c r="G96" i="2"/>
  <c r="F96" i="2"/>
  <c r="E96" i="2"/>
  <c r="C96" i="2"/>
  <c r="B96" i="2"/>
  <c r="AA95" i="2"/>
  <c r="Z95" i="2"/>
  <c r="Y95" i="2"/>
  <c r="X95" i="2"/>
  <c r="W95" i="2"/>
  <c r="V95" i="2"/>
  <c r="T95" i="2"/>
  <c r="Q95" i="2"/>
  <c r="P95" i="2"/>
  <c r="O95" i="2"/>
  <c r="N95" i="2"/>
  <c r="M95" i="2"/>
  <c r="H95" i="2"/>
  <c r="G95" i="2"/>
  <c r="F95" i="2"/>
  <c r="C95" i="2"/>
  <c r="B95" i="2"/>
  <c r="AA94" i="2"/>
  <c r="Z94" i="2"/>
  <c r="Y94" i="2"/>
  <c r="X94" i="2"/>
  <c r="W94" i="2"/>
  <c r="V94" i="2"/>
  <c r="T94" i="2"/>
  <c r="Q94" i="2"/>
  <c r="P94" i="2"/>
  <c r="O94" i="2"/>
  <c r="N94" i="2"/>
  <c r="M94" i="2"/>
  <c r="H94" i="2"/>
  <c r="G94" i="2"/>
  <c r="F94" i="2"/>
  <c r="C94" i="2"/>
  <c r="B94" i="2"/>
  <c r="AA93" i="2"/>
  <c r="Z93" i="2"/>
  <c r="Y93" i="2"/>
  <c r="X93" i="2"/>
  <c r="W93" i="2"/>
  <c r="V93" i="2"/>
  <c r="T93" i="2"/>
  <c r="Q93" i="2"/>
  <c r="P93" i="2"/>
  <c r="O93" i="2"/>
  <c r="N93" i="2"/>
  <c r="M93" i="2"/>
  <c r="H93" i="2"/>
  <c r="G93" i="2"/>
  <c r="F93" i="2"/>
  <c r="E93" i="2"/>
  <c r="D93" i="2"/>
  <c r="C93" i="2"/>
  <c r="B93" i="2"/>
  <c r="AA92" i="2"/>
  <c r="Z92" i="2"/>
  <c r="Y92" i="2"/>
  <c r="X92" i="2"/>
  <c r="W92" i="2"/>
  <c r="V92" i="2"/>
  <c r="T92" i="2"/>
  <c r="Q92" i="2"/>
  <c r="P92" i="2"/>
  <c r="O92" i="2"/>
  <c r="N92" i="2"/>
  <c r="M92" i="2"/>
  <c r="H92" i="2"/>
  <c r="G92" i="2"/>
  <c r="F92" i="2"/>
  <c r="C92" i="2"/>
  <c r="B92" i="2"/>
  <c r="AA91" i="2"/>
  <c r="Z91" i="2"/>
  <c r="Y91" i="2"/>
  <c r="X91" i="2"/>
  <c r="W91" i="2"/>
  <c r="V91" i="2"/>
  <c r="T91" i="2"/>
  <c r="Q91" i="2"/>
  <c r="P91" i="2"/>
  <c r="O91" i="2"/>
  <c r="N91" i="2"/>
  <c r="M91" i="2"/>
  <c r="H91" i="2"/>
  <c r="G91" i="2"/>
  <c r="F91" i="2"/>
  <c r="C91" i="2"/>
  <c r="B91" i="2"/>
  <c r="AA90" i="2"/>
  <c r="Z90" i="2"/>
  <c r="Y90" i="2"/>
  <c r="X90" i="2"/>
  <c r="W90" i="2"/>
  <c r="V90" i="2"/>
  <c r="T90" i="2"/>
  <c r="Q90" i="2"/>
  <c r="P90" i="2"/>
  <c r="O90" i="2"/>
  <c r="N90" i="2"/>
  <c r="M90" i="2"/>
  <c r="H90" i="2"/>
  <c r="G90" i="2"/>
  <c r="F90" i="2"/>
  <c r="C90" i="2"/>
  <c r="B90" i="2"/>
  <c r="AA89" i="2"/>
  <c r="Z89" i="2"/>
  <c r="Y89" i="2"/>
  <c r="X89" i="2"/>
  <c r="W89" i="2"/>
  <c r="V89" i="2"/>
  <c r="T89" i="2"/>
  <c r="Q89" i="2"/>
  <c r="P89" i="2"/>
  <c r="O89" i="2"/>
  <c r="N89" i="2"/>
  <c r="M89" i="2"/>
  <c r="H89" i="2"/>
  <c r="G89" i="2"/>
  <c r="F89" i="2"/>
  <c r="E89" i="2"/>
  <c r="C89" i="2"/>
  <c r="B89" i="2"/>
  <c r="AA88" i="2"/>
  <c r="Z88" i="2"/>
  <c r="Y88" i="2"/>
  <c r="X88" i="2"/>
  <c r="W88" i="2"/>
  <c r="V88" i="2"/>
  <c r="T88" i="2"/>
  <c r="Q88" i="2"/>
  <c r="P88" i="2"/>
  <c r="O88" i="2"/>
  <c r="N88" i="2"/>
  <c r="M88" i="2"/>
  <c r="H88" i="2"/>
  <c r="G88" i="2"/>
  <c r="F88" i="2"/>
  <c r="C88" i="2"/>
  <c r="B88" i="2"/>
  <c r="AA87" i="2"/>
  <c r="Z87" i="2"/>
  <c r="Y87" i="2"/>
  <c r="X87" i="2"/>
  <c r="W87" i="2"/>
  <c r="V87" i="2"/>
  <c r="T87" i="2"/>
  <c r="Q87" i="2"/>
  <c r="P87" i="2"/>
  <c r="O87" i="2"/>
  <c r="N87" i="2"/>
  <c r="M87" i="2"/>
  <c r="H87" i="2"/>
  <c r="G87" i="2"/>
  <c r="F87" i="2"/>
  <c r="C87" i="2"/>
  <c r="B87" i="2"/>
  <c r="AA86" i="2"/>
  <c r="Z86" i="2"/>
  <c r="Y86" i="2"/>
  <c r="X86" i="2"/>
  <c r="W86" i="2"/>
  <c r="V86" i="2"/>
  <c r="T86" i="2"/>
  <c r="Q86" i="2"/>
  <c r="P86" i="2"/>
  <c r="O86" i="2"/>
  <c r="N86" i="2"/>
  <c r="M86" i="2"/>
  <c r="H86" i="2"/>
  <c r="G86" i="2"/>
  <c r="F86" i="2"/>
  <c r="E86" i="2"/>
  <c r="C86" i="2"/>
  <c r="B86" i="2"/>
  <c r="AA85" i="2"/>
  <c r="Z85" i="2"/>
  <c r="Y85" i="2"/>
  <c r="X85" i="2"/>
  <c r="W85" i="2"/>
  <c r="V85" i="2"/>
  <c r="T85" i="2"/>
  <c r="Q85" i="2"/>
  <c r="P85" i="2"/>
  <c r="O85" i="2"/>
  <c r="N85" i="2"/>
  <c r="M85" i="2"/>
  <c r="H85" i="2"/>
  <c r="G85" i="2"/>
  <c r="F85" i="2"/>
  <c r="E85" i="2"/>
  <c r="D85" i="2"/>
  <c r="C85" i="2"/>
  <c r="B85" i="2"/>
  <c r="AA84" i="2"/>
  <c r="Z84" i="2"/>
  <c r="Y84" i="2"/>
  <c r="X84" i="2"/>
  <c r="W84" i="2"/>
  <c r="V84" i="2"/>
  <c r="T84" i="2"/>
  <c r="Q84" i="2"/>
  <c r="P84" i="2"/>
  <c r="O84" i="2"/>
  <c r="N84" i="2"/>
  <c r="M84" i="2"/>
  <c r="H84" i="2"/>
  <c r="G84" i="2"/>
  <c r="F84" i="2"/>
  <c r="C84" i="2"/>
  <c r="B84" i="2"/>
  <c r="AA83" i="2"/>
  <c r="Z83" i="2"/>
  <c r="Y83" i="2"/>
  <c r="X83" i="2"/>
  <c r="W83" i="2"/>
  <c r="V83" i="2"/>
  <c r="T83" i="2"/>
  <c r="Q83" i="2"/>
  <c r="P83" i="2"/>
  <c r="O83" i="2"/>
  <c r="N83" i="2"/>
  <c r="M83" i="2"/>
  <c r="H83" i="2"/>
  <c r="G83" i="2"/>
  <c r="F83" i="2"/>
  <c r="C83" i="2"/>
  <c r="B83" i="2"/>
  <c r="AA82" i="2"/>
  <c r="Z82" i="2"/>
  <c r="Y82" i="2"/>
  <c r="X82" i="2"/>
  <c r="W82" i="2"/>
  <c r="V82" i="2"/>
  <c r="T82" i="2"/>
  <c r="Q82" i="2"/>
  <c r="P82" i="2"/>
  <c r="O82" i="2"/>
  <c r="N82" i="2"/>
  <c r="M82" i="2"/>
  <c r="H82" i="2"/>
  <c r="G82" i="2"/>
  <c r="F82" i="2"/>
  <c r="C82" i="2"/>
  <c r="B82" i="2"/>
  <c r="AA81" i="2"/>
  <c r="Z81" i="2"/>
  <c r="Y81" i="2"/>
  <c r="X81" i="2"/>
  <c r="W81" i="2"/>
  <c r="V81" i="2"/>
  <c r="T81" i="2"/>
  <c r="Q81" i="2"/>
  <c r="P81" i="2"/>
  <c r="O81" i="2"/>
  <c r="N81" i="2"/>
  <c r="M81" i="2"/>
  <c r="H81" i="2"/>
  <c r="G81" i="2"/>
  <c r="F81" i="2"/>
  <c r="C81" i="2"/>
  <c r="B81" i="2"/>
  <c r="AA80" i="2"/>
  <c r="Z80" i="2"/>
  <c r="Y80" i="2"/>
  <c r="X80" i="2"/>
  <c r="W80" i="2"/>
  <c r="V80" i="2"/>
  <c r="T80" i="2"/>
  <c r="Q80" i="2"/>
  <c r="P80" i="2"/>
  <c r="O80" i="2"/>
  <c r="N80" i="2"/>
  <c r="M80" i="2"/>
  <c r="H80" i="2"/>
  <c r="G80" i="2"/>
  <c r="F80" i="2"/>
  <c r="C80" i="2"/>
  <c r="B80" i="2"/>
  <c r="AA79" i="2"/>
  <c r="Z79" i="2"/>
  <c r="Y79" i="2"/>
  <c r="X79" i="2"/>
  <c r="W79" i="2"/>
  <c r="V79" i="2"/>
  <c r="T79" i="2"/>
  <c r="Q79" i="2"/>
  <c r="P79" i="2"/>
  <c r="O79" i="2"/>
  <c r="N79" i="2"/>
  <c r="M79" i="2"/>
  <c r="H79" i="2"/>
  <c r="G79" i="2"/>
  <c r="F79" i="2"/>
  <c r="C79" i="2"/>
  <c r="B79" i="2"/>
  <c r="AA78" i="2"/>
  <c r="Z78" i="2"/>
  <c r="Y78" i="2"/>
  <c r="X78" i="2"/>
  <c r="W78" i="2"/>
  <c r="V78" i="2"/>
  <c r="T78" i="2"/>
  <c r="Q78" i="2"/>
  <c r="P78" i="2"/>
  <c r="O78" i="2"/>
  <c r="N78" i="2"/>
  <c r="M78" i="2"/>
  <c r="H78" i="2"/>
  <c r="G78" i="2"/>
  <c r="F78" i="2"/>
  <c r="C78" i="2"/>
  <c r="B78" i="2"/>
  <c r="AA77" i="2"/>
  <c r="Z77" i="2"/>
  <c r="Y77" i="2"/>
  <c r="X77" i="2"/>
  <c r="W77" i="2"/>
  <c r="V77" i="2"/>
  <c r="T77" i="2"/>
  <c r="Q77" i="2"/>
  <c r="P77" i="2"/>
  <c r="O77" i="2"/>
  <c r="N77" i="2"/>
  <c r="M77" i="2"/>
  <c r="H77" i="2"/>
  <c r="G77" i="2"/>
  <c r="F77" i="2"/>
  <c r="C77" i="2"/>
  <c r="B77" i="2"/>
  <c r="AA76" i="2"/>
  <c r="Z76" i="2"/>
  <c r="Y76" i="2"/>
  <c r="X76" i="2"/>
  <c r="W76" i="2"/>
  <c r="V76" i="2"/>
  <c r="T76" i="2"/>
  <c r="Q76" i="2"/>
  <c r="P76" i="2"/>
  <c r="O76" i="2"/>
  <c r="N76" i="2"/>
  <c r="M76" i="2"/>
  <c r="H76" i="2"/>
  <c r="G76" i="2"/>
  <c r="F76" i="2"/>
  <c r="C76" i="2"/>
  <c r="B76" i="2"/>
  <c r="AA75" i="2"/>
  <c r="Z75" i="2"/>
  <c r="Y75" i="2"/>
  <c r="X75" i="2"/>
  <c r="W75" i="2"/>
  <c r="V75" i="2"/>
  <c r="T75" i="2"/>
  <c r="Q75" i="2"/>
  <c r="P75" i="2"/>
  <c r="O75" i="2"/>
  <c r="N75" i="2"/>
  <c r="M75" i="2"/>
  <c r="H75" i="2"/>
  <c r="G75" i="2"/>
  <c r="F75" i="2"/>
  <c r="C75" i="2"/>
  <c r="B75" i="2"/>
  <c r="AA74" i="2"/>
  <c r="Z74" i="2"/>
  <c r="Y74" i="2"/>
  <c r="X74" i="2"/>
  <c r="W74" i="2"/>
  <c r="V74" i="2"/>
  <c r="T74" i="2"/>
  <c r="Q74" i="2"/>
  <c r="P74" i="2"/>
  <c r="O74" i="2"/>
  <c r="N74" i="2"/>
  <c r="M74" i="2"/>
  <c r="H74" i="2"/>
  <c r="G74" i="2"/>
  <c r="F74" i="2"/>
  <c r="C74" i="2"/>
  <c r="B74" i="2"/>
  <c r="AA73" i="2"/>
  <c r="Z73" i="2"/>
  <c r="Y73" i="2"/>
  <c r="X73" i="2"/>
  <c r="W73" i="2"/>
  <c r="V73" i="2"/>
  <c r="T73" i="2"/>
  <c r="Q73" i="2"/>
  <c r="P73" i="2"/>
  <c r="O73" i="2"/>
  <c r="N73" i="2"/>
  <c r="M73" i="2"/>
  <c r="H73" i="2"/>
  <c r="G73" i="2"/>
  <c r="F73" i="2"/>
  <c r="C73" i="2"/>
  <c r="B73" i="2"/>
  <c r="AA72" i="2"/>
  <c r="Z72" i="2"/>
  <c r="Y72" i="2"/>
  <c r="X72" i="2"/>
  <c r="W72" i="2"/>
  <c r="V72" i="2"/>
  <c r="T72" i="2"/>
  <c r="Q72" i="2"/>
  <c r="P72" i="2"/>
  <c r="O72" i="2"/>
  <c r="N72" i="2"/>
  <c r="M72" i="2"/>
  <c r="H72" i="2"/>
  <c r="G72" i="2"/>
  <c r="F72" i="2"/>
  <c r="C72" i="2"/>
  <c r="B72" i="2"/>
  <c r="AA71" i="2"/>
  <c r="Z71" i="2"/>
  <c r="Y71" i="2"/>
  <c r="X71" i="2"/>
  <c r="W71" i="2"/>
  <c r="V71" i="2"/>
  <c r="T71" i="2"/>
  <c r="Q71" i="2"/>
  <c r="P71" i="2"/>
  <c r="O71" i="2"/>
  <c r="N71" i="2"/>
  <c r="M71" i="2"/>
  <c r="H71" i="2"/>
  <c r="G71" i="2"/>
  <c r="F71" i="2"/>
  <c r="C71" i="2"/>
  <c r="B71" i="2"/>
  <c r="AA70" i="2"/>
  <c r="Z70" i="2"/>
  <c r="Y70" i="2"/>
  <c r="X70" i="2"/>
  <c r="W70" i="2"/>
  <c r="V70" i="2"/>
  <c r="T70" i="2"/>
  <c r="Q70" i="2"/>
  <c r="P70" i="2"/>
  <c r="O70" i="2"/>
  <c r="N70" i="2"/>
  <c r="M70" i="2"/>
  <c r="S70" i="2" s="1"/>
  <c r="H70" i="2"/>
  <c r="G70" i="2"/>
  <c r="F70" i="2"/>
  <c r="E70" i="2"/>
  <c r="C70" i="2"/>
  <c r="B70" i="2"/>
  <c r="AA69" i="2"/>
  <c r="Z69" i="2"/>
  <c r="Y69" i="2"/>
  <c r="X69" i="2"/>
  <c r="W69" i="2"/>
  <c r="V69" i="2"/>
  <c r="T69" i="2"/>
  <c r="Q69" i="2"/>
  <c r="P69" i="2"/>
  <c r="O69" i="2"/>
  <c r="N69" i="2"/>
  <c r="M69" i="2"/>
  <c r="H69" i="2"/>
  <c r="G69" i="2"/>
  <c r="F69" i="2"/>
  <c r="C69" i="2"/>
  <c r="B69" i="2"/>
  <c r="AA68" i="2"/>
  <c r="Z68" i="2"/>
  <c r="Y68" i="2"/>
  <c r="X68" i="2"/>
  <c r="W68" i="2"/>
  <c r="V68" i="2"/>
  <c r="T68" i="2"/>
  <c r="Q68" i="2"/>
  <c r="P68" i="2"/>
  <c r="O68" i="2"/>
  <c r="N68" i="2"/>
  <c r="M68" i="2"/>
  <c r="H68" i="2"/>
  <c r="G68" i="2"/>
  <c r="F68" i="2"/>
  <c r="C68" i="2"/>
  <c r="B68" i="2"/>
  <c r="AA67" i="2"/>
  <c r="Z67" i="2"/>
  <c r="Y67" i="2"/>
  <c r="X67" i="2"/>
  <c r="W67" i="2"/>
  <c r="V67" i="2"/>
  <c r="T67" i="2"/>
  <c r="Q67" i="2"/>
  <c r="P67" i="2"/>
  <c r="O67" i="2"/>
  <c r="N67" i="2"/>
  <c r="M67" i="2"/>
  <c r="H67" i="2"/>
  <c r="G67" i="2"/>
  <c r="F67" i="2"/>
  <c r="E67" i="2"/>
  <c r="D67" i="2"/>
  <c r="C67" i="2"/>
  <c r="B67" i="2"/>
  <c r="AA66" i="2"/>
  <c r="Z66" i="2"/>
  <c r="Y66" i="2"/>
  <c r="X66" i="2"/>
  <c r="W66" i="2"/>
  <c r="V66" i="2"/>
  <c r="T66" i="2"/>
  <c r="Q66" i="2"/>
  <c r="P66" i="2"/>
  <c r="O66" i="2"/>
  <c r="N66" i="2"/>
  <c r="M66" i="2"/>
  <c r="H66" i="2"/>
  <c r="G66" i="2"/>
  <c r="F66" i="2"/>
  <c r="C66" i="2"/>
  <c r="B66" i="2"/>
  <c r="AA65" i="2"/>
  <c r="Z65" i="2"/>
  <c r="Y65" i="2"/>
  <c r="X65" i="2"/>
  <c r="W65" i="2"/>
  <c r="V65" i="2"/>
  <c r="T65" i="2"/>
  <c r="Q65" i="2"/>
  <c r="P65" i="2"/>
  <c r="O65" i="2"/>
  <c r="N65" i="2"/>
  <c r="M65" i="2"/>
  <c r="R65" i="2" s="1"/>
  <c r="H65" i="2"/>
  <c r="G65" i="2"/>
  <c r="F65" i="2"/>
  <c r="C65" i="2"/>
  <c r="B65" i="2"/>
  <c r="AA64" i="2"/>
  <c r="Z64" i="2"/>
  <c r="Y64" i="2"/>
  <c r="X64" i="2"/>
  <c r="W64" i="2"/>
  <c r="V64" i="2"/>
  <c r="T64" i="2"/>
  <c r="Q64" i="2"/>
  <c r="P64" i="2"/>
  <c r="O64" i="2"/>
  <c r="N64" i="2"/>
  <c r="M64" i="2"/>
  <c r="H64" i="2"/>
  <c r="G64" i="2"/>
  <c r="F64" i="2"/>
  <c r="E64" i="2"/>
  <c r="C64" i="2"/>
  <c r="B64" i="2"/>
  <c r="AA63" i="2"/>
  <c r="Z63" i="2"/>
  <c r="Y63" i="2"/>
  <c r="X63" i="2"/>
  <c r="W63" i="2"/>
  <c r="V63" i="2"/>
  <c r="T63" i="2"/>
  <c r="Q63" i="2"/>
  <c r="P63" i="2"/>
  <c r="O63" i="2"/>
  <c r="N63" i="2"/>
  <c r="M63" i="2"/>
  <c r="H63" i="2"/>
  <c r="G63" i="2"/>
  <c r="F63" i="2"/>
  <c r="C63" i="2"/>
  <c r="B63" i="2"/>
  <c r="AA62" i="2"/>
  <c r="Z62" i="2"/>
  <c r="Y62" i="2"/>
  <c r="X62" i="2"/>
  <c r="W62" i="2"/>
  <c r="S62" i="2" s="1"/>
  <c r="V62" i="2"/>
  <c r="T62" i="2"/>
  <c r="Q62" i="2"/>
  <c r="P62" i="2"/>
  <c r="O62" i="2"/>
  <c r="N62" i="2"/>
  <c r="M62" i="2"/>
  <c r="H62" i="2"/>
  <c r="G62" i="2"/>
  <c r="F62" i="2"/>
  <c r="C62" i="2"/>
  <c r="B62" i="2"/>
  <c r="AA61" i="2"/>
  <c r="Z61" i="2"/>
  <c r="Y61" i="2"/>
  <c r="X61" i="2"/>
  <c r="W61" i="2"/>
  <c r="V61" i="2"/>
  <c r="T61" i="2"/>
  <c r="Q61" i="2"/>
  <c r="P61" i="2"/>
  <c r="O61" i="2"/>
  <c r="N61" i="2"/>
  <c r="M61" i="2"/>
  <c r="H61" i="2"/>
  <c r="G61" i="2"/>
  <c r="F61" i="2"/>
  <c r="E61" i="2"/>
  <c r="C61" i="2"/>
  <c r="B61" i="2"/>
  <c r="AA60" i="2"/>
  <c r="Z60" i="2"/>
  <c r="Y60" i="2"/>
  <c r="X60" i="2"/>
  <c r="W60" i="2"/>
  <c r="V60" i="2"/>
  <c r="T60" i="2"/>
  <c r="Q60" i="2"/>
  <c r="P60" i="2"/>
  <c r="O60" i="2"/>
  <c r="N60" i="2"/>
  <c r="M60" i="2"/>
  <c r="H60" i="2"/>
  <c r="G60" i="2"/>
  <c r="F60" i="2"/>
  <c r="E60" i="2"/>
  <c r="C60" i="2"/>
  <c r="B60" i="2"/>
  <c r="AA59" i="2"/>
  <c r="Z59" i="2"/>
  <c r="Y59" i="2"/>
  <c r="X59" i="2"/>
  <c r="W59" i="2"/>
  <c r="V59" i="2"/>
  <c r="T59" i="2"/>
  <c r="Q59" i="2"/>
  <c r="P59" i="2"/>
  <c r="O59" i="2"/>
  <c r="N59" i="2"/>
  <c r="M59" i="2"/>
  <c r="H59" i="2"/>
  <c r="G59" i="2"/>
  <c r="F59" i="2"/>
  <c r="C59" i="2"/>
  <c r="B59" i="2"/>
  <c r="AA58" i="2"/>
  <c r="Z58" i="2"/>
  <c r="Y58" i="2"/>
  <c r="X58" i="2"/>
  <c r="W58" i="2"/>
  <c r="V58" i="2"/>
  <c r="T58" i="2"/>
  <c r="Q58" i="2"/>
  <c r="P58" i="2"/>
  <c r="O58" i="2"/>
  <c r="N58" i="2"/>
  <c r="M58" i="2"/>
  <c r="H58" i="2"/>
  <c r="G58" i="2"/>
  <c r="F58" i="2"/>
  <c r="C58" i="2"/>
  <c r="B58" i="2"/>
  <c r="AA57" i="2"/>
  <c r="Z57" i="2"/>
  <c r="Y57" i="2"/>
  <c r="X57" i="2"/>
  <c r="W57" i="2"/>
  <c r="V57" i="2"/>
  <c r="T57" i="2"/>
  <c r="Q57" i="2"/>
  <c r="P57" i="2"/>
  <c r="O57" i="2"/>
  <c r="N57" i="2"/>
  <c r="M57" i="2"/>
  <c r="H57" i="2"/>
  <c r="G57" i="2"/>
  <c r="F57" i="2"/>
  <c r="E57" i="2"/>
  <c r="C57" i="2"/>
  <c r="B57" i="2"/>
  <c r="AA56" i="2"/>
  <c r="Z56" i="2"/>
  <c r="Y56" i="2"/>
  <c r="X56" i="2"/>
  <c r="W56" i="2"/>
  <c r="V56" i="2"/>
  <c r="T56" i="2"/>
  <c r="Q56" i="2"/>
  <c r="P56" i="2"/>
  <c r="O56" i="2"/>
  <c r="N56" i="2"/>
  <c r="M56" i="2"/>
  <c r="H56" i="2"/>
  <c r="G56" i="2"/>
  <c r="F56" i="2"/>
  <c r="C56" i="2"/>
  <c r="B56" i="2"/>
  <c r="AA55" i="2"/>
  <c r="Z55" i="2"/>
  <c r="Y55" i="2"/>
  <c r="X55" i="2"/>
  <c r="W55" i="2"/>
  <c r="V55" i="2"/>
  <c r="T55" i="2"/>
  <c r="Q55" i="2"/>
  <c r="P55" i="2"/>
  <c r="O55" i="2"/>
  <c r="N55" i="2"/>
  <c r="M55" i="2"/>
  <c r="H55" i="2"/>
  <c r="G55" i="2"/>
  <c r="F55" i="2"/>
  <c r="C55" i="2"/>
  <c r="B55" i="2"/>
  <c r="AA54" i="2"/>
  <c r="Z54" i="2"/>
  <c r="Y54" i="2"/>
  <c r="X54" i="2"/>
  <c r="W54" i="2"/>
  <c r="S54" i="2" s="1"/>
  <c r="V54" i="2"/>
  <c r="T54" i="2"/>
  <c r="Q54" i="2"/>
  <c r="P54" i="2"/>
  <c r="O54" i="2"/>
  <c r="N54" i="2"/>
  <c r="M54" i="2"/>
  <c r="H54" i="2"/>
  <c r="G54" i="2"/>
  <c r="F54" i="2"/>
  <c r="E54" i="2"/>
  <c r="C54" i="2"/>
  <c r="B54" i="2"/>
  <c r="AA53" i="2"/>
  <c r="Z53" i="2"/>
  <c r="Y53" i="2"/>
  <c r="X53" i="2"/>
  <c r="W53" i="2"/>
  <c r="V53" i="2"/>
  <c r="T53" i="2"/>
  <c r="Q53" i="2"/>
  <c r="P53" i="2"/>
  <c r="O53" i="2"/>
  <c r="N53" i="2"/>
  <c r="M53" i="2"/>
  <c r="H53" i="2"/>
  <c r="G53" i="2"/>
  <c r="F53" i="2"/>
  <c r="C53" i="2"/>
  <c r="B53" i="2"/>
  <c r="AA52" i="2"/>
  <c r="Z52" i="2"/>
  <c r="Y52" i="2"/>
  <c r="X52" i="2"/>
  <c r="W52" i="2"/>
  <c r="V52" i="2"/>
  <c r="T52" i="2"/>
  <c r="Q52" i="2"/>
  <c r="P52" i="2"/>
  <c r="O52" i="2"/>
  <c r="N52" i="2"/>
  <c r="M52" i="2"/>
  <c r="H52" i="2"/>
  <c r="G52" i="2"/>
  <c r="F52" i="2"/>
  <c r="E52" i="2"/>
  <c r="C52" i="2"/>
  <c r="B52" i="2"/>
  <c r="AA51" i="2"/>
  <c r="Z51" i="2"/>
  <c r="Y51" i="2"/>
  <c r="X51" i="2"/>
  <c r="W51" i="2"/>
  <c r="V51" i="2"/>
  <c r="T51" i="2"/>
  <c r="Q51" i="2"/>
  <c r="P51" i="2"/>
  <c r="O51" i="2"/>
  <c r="N51" i="2"/>
  <c r="M51" i="2"/>
  <c r="H51" i="2"/>
  <c r="G51" i="2"/>
  <c r="F51" i="2"/>
  <c r="C51" i="2"/>
  <c r="B51" i="2"/>
  <c r="AA50" i="2"/>
  <c r="Z50" i="2"/>
  <c r="Y50" i="2"/>
  <c r="X50" i="2"/>
  <c r="W50" i="2"/>
  <c r="V50" i="2"/>
  <c r="T50" i="2"/>
  <c r="Q50" i="2"/>
  <c r="P50" i="2"/>
  <c r="O50" i="2"/>
  <c r="N50" i="2"/>
  <c r="M50" i="2"/>
  <c r="H50" i="2"/>
  <c r="G50" i="2"/>
  <c r="F50" i="2"/>
  <c r="C50" i="2"/>
  <c r="B50" i="2"/>
  <c r="AA49" i="2"/>
  <c r="Z49" i="2"/>
  <c r="Y49" i="2"/>
  <c r="X49" i="2"/>
  <c r="W49" i="2"/>
  <c r="V49" i="2"/>
  <c r="T49" i="2"/>
  <c r="Q49" i="2"/>
  <c r="P49" i="2"/>
  <c r="O49" i="2"/>
  <c r="N49" i="2"/>
  <c r="M49" i="2"/>
  <c r="H49" i="2"/>
  <c r="G49" i="2"/>
  <c r="F49" i="2"/>
  <c r="C49" i="2"/>
  <c r="B49" i="2"/>
  <c r="AA48" i="2"/>
  <c r="Z48" i="2"/>
  <c r="Y48" i="2"/>
  <c r="X48" i="2"/>
  <c r="W48" i="2"/>
  <c r="V48" i="2"/>
  <c r="T48" i="2"/>
  <c r="Q48" i="2"/>
  <c r="P48" i="2"/>
  <c r="O48" i="2"/>
  <c r="N48" i="2"/>
  <c r="M48" i="2"/>
  <c r="H48" i="2"/>
  <c r="G48" i="2"/>
  <c r="F48" i="2"/>
  <c r="C48" i="2"/>
  <c r="B48" i="2"/>
  <c r="AA47" i="2"/>
  <c r="Z47" i="2"/>
  <c r="Y47" i="2"/>
  <c r="X47" i="2"/>
  <c r="W47" i="2"/>
  <c r="V47" i="2"/>
  <c r="T47" i="2"/>
  <c r="Q47" i="2"/>
  <c r="P47" i="2"/>
  <c r="O47" i="2"/>
  <c r="N47" i="2"/>
  <c r="M47" i="2"/>
  <c r="H47" i="2"/>
  <c r="G47" i="2"/>
  <c r="F47" i="2"/>
  <c r="C47" i="2"/>
  <c r="B47" i="2"/>
  <c r="AA46" i="2"/>
  <c r="Z46" i="2"/>
  <c r="Y46" i="2"/>
  <c r="X46" i="2"/>
  <c r="W46" i="2"/>
  <c r="V46" i="2"/>
  <c r="T46" i="2"/>
  <c r="Q46" i="2"/>
  <c r="P46" i="2"/>
  <c r="O46" i="2"/>
  <c r="N46" i="2"/>
  <c r="M46" i="2"/>
  <c r="S46" i="2" s="1"/>
  <c r="H46" i="2"/>
  <c r="G46" i="2"/>
  <c r="F46" i="2"/>
  <c r="C46" i="2"/>
  <c r="B46" i="2"/>
  <c r="AA45" i="2"/>
  <c r="Z45" i="2"/>
  <c r="Y45" i="2"/>
  <c r="X45" i="2"/>
  <c r="W45" i="2"/>
  <c r="V45" i="2"/>
  <c r="T45" i="2"/>
  <c r="Q45" i="2"/>
  <c r="P45" i="2"/>
  <c r="O45" i="2"/>
  <c r="N45" i="2"/>
  <c r="M45" i="2"/>
  <c r="H45" i="2"/>
  <c r="G45" i="2"/>
  <c r="F45" i="2"/>
  <c r="C45" i="2"/>
  <c r="B45" i="2"/>
  <c r="AA44" i="2"/>
  <c r="Z44" i="2"/>
  <c r="Y44" i="2"/>
  <c r="X44" i="2"/>
  <c r="W44" i="2"/>
  <c r="V44" i="2"/>
  <c r="T44" i="2"/>
  <c r="Q44" i="2"/>
  <c r="P44" i="2"/>
  <c r="O44" i="2"/>
  <c r="N44" i="2"/>
  <c r="M44" i="2"/>
  <c r="H44" i="2"/>
  <c r="G44" i="2"/>
  <c r="F44" i="2"/>
  <c r="C44" i="2"/>
  <c r="B44" i="2"/>
  <c r="AA43" i="2"/>
  <c r="Z43" i="2"/>
  <c r="Y43" i="2"/>
  <c r="X43" i="2"/>
  <c r="W43" i="2"/>
  <c r="V43" i="2"/>
  <c r="T43" i="2"/>
  <c r="Q43" i="2"/>
  <c r="P43" i="2"/>
  <c r="O43" i="2"/>
  <c r="N43" i="2"/>
  <c r="M43" i="2"/>
  <c r="H43" i="2"/>
  <c r="G43" i="2"/>
  <c r="F43" i="2"/>
  <c r="C43" i="2"/>
  <c r="B43" i="2"/>
  <c r="AA42" i="2"/>
  <c r="Z42" i="2"/>
  <c r="Y42" i="2"/>
  <c r="X42" i="2"/>
  <c r="W42" i="2"/>
  <c r="V42" i="2"/>
  <c r="T42" i="2"/>
  <c r="Q42" i="2"/>
  <c r="P42" i="2"/>
  <c r="O42" i="2"/>
  <c r="N42" i="2"/>
  <c r="M42" i="2"/>
  <c r="H42" i="2"/>
  <c r="G42" i="2"/>
  <c r="F42" i="2"/>
  <c r="C42" i="2"/>
  <c r="B42" i="2"/>
  <c r="AA41" i="2"/>
  <c r="Z41" i="2"/>
  <c r="Y41" i="2"/>
  <c r="X41" i="2"/>
  <c r="W41" i="2"/>
  <c r="V41" i="2"/>
  <c r="T41" i="2"/>
  <c r="Q41" i="2"/>
  <c r="P41" i="2"/>
  <c r="O41" i="2"/>
  <c r="N41" i="2"/>
  <c r="M41" i="2"/>
  <c r="H41" i="2"/>
  <c r="G41" i="2"/>
  <c r="F41" i="2"/>
  <c r="C41" i="2"/>
  <c r="B41" i="2"/>
  <c r="AA40" i="2"/>
  <c r="Z40" i="2"/>
  <c r="Y40" i="2"/>
  <c r="X40" i="2"/>
  <c r="W40" i="2"/>
  <c r="V40" i="2"/>
  <c r="T40" i="2"/>
  <c r="Q40" i="2"/>
  <c r="P40" i="2"/>
  <c r="O40" i="2"/>
  <c r="N40" i="2"/>
  <c r="M40" i="2"/>
  <c r="H40" i="2"/>
  <c r="G40" i="2"/>
  <c r="F40" i="2"/>
  <c r="C40" i="2"/>
  <c r="B40" i="2"/>
  <c r="AA39" i="2"/>
  <c r="Z39" i="2"/>
  <c r="Y39" i="2"/>
  <c r="X39" i="2"/>
  <c r="W39" i="2"/>
  <c r="V39" i="2"/>
  <c r="T39" i="2"/>
  <c r="Q39" i="2"/>
  <c r="P39" i="2"/>
  <c r="O39" i="2"/>
  <c r="N39" i="2"/>
  <c r="M39" i="2"/>
  <c r="H39" i="2"/>
  <c r="G39" i="2"/>
  <c r="F39" i="2"/>
  <c r="C39" i="2"/>
  <c r="B39" i="2"/>
  <c r="AA38" i="2"/>
  <c r="Z38" i="2"/>
  <c r="Y38" i="2"/>
  <c r="X38" i="2"/>
  <c r="W38" i="2"/>
  <c r="V38" i="2"/>
  <c r="T38" i="2"/>
  <c r="Q38" i="2"/>
  <c r="P38" i="2"/>
  <c r="O38" i="2"/>
  <c r="N38" i="2"/>
  <c r="M38" i="2"/>
  <c r="H38" i="2"/>
  <c r="G38" i="2"/>
  <c r="F38" i="2"/>
  <c r="C38" i="2"/>
  <c r="B38" i="2"/>
  <c r="AA37" i="2"/>
  <c r="Z37" i="2"/>
  <c r="Y37" i="2"/>
  <c r="X37" i="2"/>
  <c r="W37" i="2"/>
  <c r="V37" i="2"/>
  <c r="T37" i="2"/>
  <c r="Q37" i="2"/>
  <c r="P37" i="2"/>
  <c r="O37" i="2"/>
  <c r="N37" i="2"/>
  <c r="M37" i="2"/>
  <c r="H37" i="2"/>
  <c r="G37" i="2"/>
  <c r="F37" i="2"/>
  <c r="C37" i="2"/>
  <c r="B37" i="2"/>
  <c r="AA36" i="2"/>
  <c r="Z36" i="2"/>
  <c r="Y36" i="2"/>
  <c r="X36" i="2"/>
  <c r="W36" i="2"/>
  <c r="V36" i="2"/>
  <c r="T36" i="2"/>
  <c r="Q36" i="2"/>
  <c r="P36" i="2"/>
  <c r="O36" i="2"/>
  <c r="N36" i="2"/>
  <c r="M36" i="2"/>
  <c r="H36" i="2"/>
  <c r="G36" i="2"/>
  <c r="F36" i="2"/>
  <c r="E36" i="2"/>
  <c r="C36" i="2"/>
  <c r="B36" i="2"/>
  <c r="AA35" i="2"/>
  <c r="Z35" i="2"/>
  <c r="Y35" i="2"/>
  <c r="X35" i="2"/>
  <c r="W35" i="2"/>
  <c r="V35" i="2"/>
  <c r="T35" i="2"/>
  <c r="Q35" i="2"/>
  <c r="P35" i="2"/>
  <c r="O35" i="2"/>
  <c r="N35" i="2"/>
  <c r="M35" i="2"/>
  <c r="H35" i="2"/>
  <c r="G35" i="2"/>
  <c r="F35" i="2"/>
  <c r="C35" i="2"/>
  <c r="B35" i="2"/>
  <c r="R164" i="2" l="1"/>
  <c r="S164" i="2" s="1"/>
  <c r="S158" i="2"/>
  <c r="R46" i="2"/>
  <c r="R59" i="2"/>
  <c r="S59" i="2" s="1"/>
  <c r="R66" i="2"/>
  <c r="R113" i="2"/>
  <c r="R63" i="2"/>
  <c r="S151" i="2"/>
  <c r="R49" i="2"/>
  <c r="R50" i="2"/>
  <c r="R47" i="2"/>
  <c r="R89" i="2"/>
  <c r="S89" i="2" s="1"/>
  <c r="R153" i="2"/>
  <c r="S153" i="2" s="1"/>
  <c r="R167" i="2"/>
  <c r="S167" i="2" s="1"/>
  <c r="R107" i="2"/>
  <c r="S63" i="2"/>
  <c r="R82" i="2"/>
  <c r="S110" i="2"/>
  <c r="R151" i="2"/>
  <c r="R71" i="2"/>
  <c r="R79" i="2"/>
  <c r="R159" i="2"/>
  <c r="R161" i="2"/>
  <c r="R75" i="2"/>
  <c r="S75" i="2" s="1"/>
  <c r="R108" i="2"/>
  <c r="S108" i="2" s="1"/>
  <c r="R118" i="2"/>
  <c r="S130" i="2"/>
  <c r="S80" i="2"/>
  <c r="S79" i="2"/>
  <c r="S64" i="2"/>
  <c r="R110" i="2"/>
  <c r="Q40" i="5"/>
  <c r="D72" i="2" s="1"/>
  <c r="S55" i="2"/>
  <c r="R105" i="2"/>
  <c r="R132" i="2"/>
  <c r="Q78" i="5"/>
  <c r="D110" i="2" s="1"/>
  <c r="Q103" i="5"/>
  <c r="D135" i="2" s="1"/>
  <c r="S40" i="2"/>
  <c r="E48" i="2"/>
  <c r="R119" i="2"/>
  <c r="Q23" i="5"/>
  <c r="D55" i="2" s="1"/>
  <c r="Q48" i="5"/>
  <c r="D80" i="2" s="1"/>
  <c r="R41" i="2"/>
  <c r="S41" i="2" s="1"/>
  <c r="E92" i="2"/>
  <c r="R92" i="2"/>
  <c r="S92" i="2" s="1"/>
  <c r="R111" i="2"/>
  <c r="S155" i="2"/>
  <c r="E157" i="2"/>
  <c r="Q17" i="5"/>
  <c r="D49" i="2" s="1"/>
  <c r="Q41" i="5"/>
  <c r="D73" i="2" s="1"/>
  <c r="E45" i="2"/>
  <c r="S47" i="2"/>
  <c r="E76" i="2"/>
  <c r="R87" i="2"/>
  <c r="R100" i="2"/>
  <c r="S100" i="2" s="1"/>
  <c r="R122" i="2"/>
  <c r="E124" i="2"/>
  <c r="R124" i="2"/>
  <c r="E149" i="2"/>
  <c r="E153" i="2"/>
  <c r="R158" i="2"/>
  <c r="E161" i="2"/>
  <c r="Q14" i="5"/>
  <c r="D46" i="2" s="1"/>
  <c r="Q31" i="5"/>
  <c r="D63" i="2" s="1"/>
  <c r="R35" i="2"/>
  <c r="S35" i="2" s="1"/>
  <c r="R39" i="2"/>
  <c r="R55" i="2"/>
  <c r="E69" i="2"/>
  <c r="R166" i="2"/>
  <c r="S166" i="2" s="1"/>
  <c r="R38" i="2"/>
  <c r="E75" i="2"/>
  <c r="R137" i="2"/>
  <c r="S137" i="2" s="1"/>
  <c r="R148" i="2"/>
  <c r="S148" i="2" s="1"/>
  <c r="R43" i="2"/>
  <c r="S43" i="2" s="1"/>
  <c r="E51" i="2"/>
  <c r="R62" i="2"/>
  <c r="S68" i="2"/>
  <c r="R81" i="2"/>
  <c r="R91" i="2"/>
  <c r="R94" i="2"/>
  <c r="E117" i="2"/>
  <c r="R135" i="2"/>
  <c r="R140" i="2"/>
  <c r="S140" i="2" s="1"/>
  <c r="S161" i="2"/>
  <c r="R129" i="2"/>
  <c r="S44" i="2"/>
  <c r="S56" i="2"/>
  <c r="E83" i="2"/>
  <c r="E141" i="2"/>
  <c r="Q39" i="5"/>
  <c r="D71" i="2" s="1"/>
  <c r="S71" i="2" s="1"/>
  <c r="Q62" i="5"/>
  <c r="D94" i="2" s="1"/>
  <c r="Q81" i="5"/>
  <c r="D113" i="2" s="1"/>
  <c r="S113" i="2" s="1"/>
  <c r="Q126" i="5"/>
  <c r="D158" i="2" s="1"/>
  <c r="E43" i="2"/>
  <c r="S60" i="2"/>
  <c r="E68" i="2"/>
  <c r="E77" i="2"/>
  <c r="R121" i="2"/>
  <c r="S121" i="2" s="1"/>
  <c r="S131" i="2"/>
  <c r="R142" i="2"/>
  <c r="R145" i="2"/>
  <c r="S145" i="2" s="1"/>
  <c r="Q12" i="5"/>
  <c r="D44" i="2" s="1"/>
  <c r="Q15" i="5"/>
  <c r="D47" i="2" s="1"/>
  <c r="Q24" i="5"/>
  <c r="D56" i="2" s="1"/>
  <c r="Q33" i="5"/>
  <c r="D65" i="2" s="1"/>
  <c r="S65" i="2" s="1"/>
  <c r="Q46" i="5"/>
  <c r="D78" i="2" s="1"/>
  <c r="Q110" i="5"/>
  <c r="D142" i="2" s="1"/>
  <c r="E37" i="2"/>
  <c r="R42" i="2"/>
  <c r="R78" i="2"/>
  <c r="E100" i="2"/>
  <c r="R131" i="2"/>
  <c r="E145" i="2"/>
  <c r="E165" i="2"/>
  <c r="Q6" i="5"/>
  <c r="D38" i="2" s="1"/>
  <c r="Q9" i="5"/>
  <c r="D41" i="2" s="1"/>
  <c r="Q49" i="5"/>
  <c r="D81" i="2" s="1"/>
  <c r="Q56" i="5"/>
  <c r="D88" i="2" s="1"/>
  <c r="Q79" i="5"/>
  <c r="D111" i="2" s="1"/>
  <c r="Q95" i="5"/>
  <c r="D127" i="2" s="1"/>
  <c r="Q104" i="5"/>
  <c r="D136" i="2" s="1"/>
  <c r="Q120" i="5"/>
  <c r="D152" i="2" s="1"/>
  <c r="R48" i="2"/>
  <c r="S48" i="2" s="1"/>
  <c r="R51" i="2"/>
  <c r="S51" i="2" s="1"/>
  <c r="E53" i="2"/>
  <c r="R57" i="2"/>
  <c r="E59" i="2"/>
  <c r="E62" i="2"/>
  <c r="R97" i="2"/>
  <c r="S97" i="2" s="1"/>
  <c r="R114" i="2"/>
  <c r="E133" i="2"/>
  <c r="R147" i="2"/>
  <c r="E155" i="2"/>
  <c r="S52" i="2"/>
  <c r="R54" i="2"/>
  <c r="R58" i="2"/>
  <c r="R67" i="2"/>
  <c r="S67" i="2" s="1"/>
  <c r="R73" i="2"/>
  <c r="E91" i="2"/>
  <c r="E97" i="2"/>
  <c r="E101" i="2"/>
  <c r="E104" i="2"/>
  <c r="E107" i="2"/>
  <c r="E116" i="2"/>
  <c r="R116" i="2"/>
  <c r="S116" i="2" s="1"/>
  <c r="R134" i="2"/>
  <c r="S134" i="2" s="1"/>
  <c r="E139" i="2"/>
  <c r="R150" i="2"/>
  <c r="E163" i="2"/>
  <c r="Q47" i="5"/>
  <c r="D79" i="2" s="1"/>
  <c r="Q111" i="5"/>
  <c r="D143" i="2" s="1"/>
  <c r="E35" i="2"/>
  <c r="R70" i="2"/>
  <c r="R74" i="2"/>
  <c r="R83" i="2"/>
  <c r="S83" i="2" s="1"/>
  <c r="R86" i="2"/>
  <c r="S86" i="2" s="1"/>
  <c r="R99" i="2"/>
  <c r="R102" i="2"/>
  <c r="R103" i="2"/>
  <c r="R126" i="2"/>
  <c r="R127" i="2"/>
  <c r="E156" i="2"/>
  <c r="R156" i="2"/>
  <c r="S49" i="2"/>
  <c r="S57" i="2"/>
  <c r="S91" i="2"/>
  <c r="R93" i="2"/>
  <c r="S93" i="2" s="1"/>
  <c r="S103" i="2"/>
  <c r="S107" i="2"/>
  <c r="S127" i="2"/>
  <c r="Q34" i="5"/>
  <c r="D66" i="2" s="1"/>
  <c r="E66" i="2"/>
  <c r="Q98" i="5"/>
  <c r="D130" i="2" s="1"/>
  <c r="E130" i="2"/>
  <c r="R98" i="2"/>
  <c r="R136" i="2"/>
  <c r="S136" i="2" s="1"/>
  <c r="S141" i="2"/>
  <c r="R141" i="2"/>
  <c r="R155" i="2"/>
  <c r="R160" i="2"/>
  <c r="S160" i="2" s="1"/>
  <c r="R165" i="2"/>
  <c r="S165" i="2" s="1"/>
  <c r="Q7" i="5"/>
  <c r="D39" i="2" s="1"/>
  <c r="Q10" i="5"/>
  <c r="D42" i="2" s="1"/>
  <c r="E42" i="2"/>
  <c r="Q71" i="5"/>
  <c r="D103" i="2" s="1"/>
  <c r="Q74" i="5"/>
  <c r="D106" i="2" s="1"/>
  <c r="E106" i="2"/>
  <c r="E84" i="2"/>
  <c r="R112" i="2"/>
  <c r="S112" i="2" s="1"/>
  <c r="S117" i="2"/>
  <c r="R117" i="2"/>
  <c r="S118" i="2"/>
  <c r="Q50" i="5"/>
  <c r="D82" i="2" s="1"/>
  <c r="S82" i="2" s="1"/>
  <c r="E82" i="2"/>
  <c r="Q114" i="5"/>
  <c r="D146" i="2" s="1"/>
  <c r="S146" i="2" s="1"/>
  <c r="E146" i="2"/>
  <c r="R36" i="2"/>
  <c r="S36" i="2" s="1"/>
  <c r="R37" i="2"/>
  <c r="S37" i="2" s="1"/>
  <c r="R40" i="2"/>
  <c r="S42" i="2"/>
  <c r="R44" i="2"/>
  <c r="R45" i="2"/>
  <c r="S45" i="2" s="1"/>
  <c r="S50" i="2"/>
  <c r="R52" i="2"/>
  <c r="S53" i="2"/>
  <c r="R53" i="2"/>
  <c r="R56" i="2"/>
  <c r="S58" i="2"/>
  <c r="R60" i="2"/>
  <c r="S61" i="2"/>
  <c r="R61" i="2"/>
  <c r="R64" i="2"/>
  <c r="S66" i="2"/>
  <c r="R68" i="2"/>
  <c r="R69" i="2"/>
  <c r="S69" i="2" s="1"/>
  <c r="R72" i="2"/>
  <c r="S72" i="2" s="1"/>
  <c r="R76" i="2"/>
  <c r="S76" i="2" s="1"/>
  <c r="R77" i="2"/>
  <c r="S77" i="2" s="1"/>
  <c r="R80" i="2"/>
  <c r="R84" i="2"/>
  <c r="S84" i="2" s="1"/>
  <c r="R85" i="2"/>
  <c r="S85" i="2" s="1"/>
  <c r="R95" i="2"/>
  <c r="R96" i="2"/>
  <c r="S96" i="2" s="1"/>
  <c r="R143" i="2"/>
  <c r="S143" i="2" s="1"/>
  <c r="R144" i="2"/>
  <c r="S144" i="2" s="1"/>
  <c r="S149" i="2"/>
  <c r="R149" i="2"/>
  <c r="Q26" i="5"/>
  <c r="D58" i="2" s="1"/>
  <c r="E58" i="2"/>
  <c r="Q87" i="5"/>
  <c r="D119" i="2" s="1"/>
  <c r="Q90" i="5"/>
  <c r="D122" i="2" s="1"/>
  <c r="S122" i="2" s="1"/>
  <c r="E122" i="2"/>
  <c r="Q130" i="5"/>
  <c r="D162" i="2" s="1"/>
  <c r="E162" i="2"/>
  <c r="R90" i="2"/>
  <c r="R101" i="2"/>
  <c r="S101" i="2" s="1"/>
  <c r="S120" i="2"/>
  <c r="R120" i="2"/>
  <c r="R125" i="2"/>
  <c r="S125" i="2" s="1"/>
  <c r="R139" i="2"/>
  <c r="S139" i="2" s="1"/>
  <c r="S147" i="2"/>
  <c r="R154" i="2"/>
  <c r="R163" i="2"/>
  <c r="S163" i="2" s="1"/>
  <c r="Q63" i="5"/>
  <c r="D95" i="2" s="1"/>
  <c r="Q66" i="5"/>
  <c r="D98" i="2" s="1"/>
  <c r="E98" i="2"/>
  <c r="Q127" i="5"/>
  <c r="D159" i="2" s="1"/>
  <c r="S99" i="2"/>
  <c r="R106" i="2"/>
  <c r="R115" i="2"/>
  <c r="S115" i="2" s="1"/>
  <c r="R130" i="2"/>
  <c r="Q42" i="5"/>
  <c r="D74" i="2" s="1"/>
  <c r="E74" i="2"/>
  <c r="Q106" i="5"/>
  <c r="D138" i="2" s="1"/>
  <c r="E138" i="2"/>
  <c r="Q82" i="5"/>
  <c r="D114" i="2" s="1"/>
  <c r="E114" i="2"/>
  <c r="R88" i="2"/>
  <c r="S152" i="2"/>
  <c r="R152" i="2"/>
  <c r="R157" i="2"/>
  <c r="S157" i="2" s="1"/>
  <c r="Q18" i="5"/>
  <c r="D50" i="2" s="1"/>
  <c r="E50" i="2"/>
  <c r="S104" i="2"/>
  <c r="R104" i="2"/>
  <c r="S109" i="2"/>
  <c r="R109" i="2"/>
  <c r="R123" i="2"/>
  <c r="S123" i="2" s="1"/>
  <c r="S128" i="2"/>
  <c r="R128" i="2"/>
  <c r="R133" i="2"/>
  <c r="S133" i="2" s="1"/>
  <c r="R138" i="2"/>
  <c r="R162" i="2"/>
  <c r="Q55" i="5"/>
  <c r="D87" i="2" s="1"/>
  <c r="Q58" i="5"/>
  <c r="D90" i="2" s="1"/>
  <c r="E90" i="2"/>
  <c r="Q119" i="5"/>
  <c r="D151" i="2" s="1"/>
  <c r="Q122" i="5"/>
  <c r="D154" i="2" s="1"/>
  <c r="E154" i="2"/>
  <c r="E167" i="2"/>
  <c r="S38" i="2" l="1"/>
  <c r="S135" i="2"/>
  <c r="S73" i="2"/>
  <c r="S111" i="2"/>
  <c r="S81" i="2"/>
  <c r="S87" i="2"/>
  <c r="S88" i="2"/>
  <c r="S119" i="2"/>
  <c r="S94" i="2"/>
  <c r="S74" i="2"/>
  <c r="S39" i="2"/>
  <c r="M21" i="2" s="1"/>
  <c r="S142" i="2"/>
  <c r="S78" i="2"/>
  <c r="S95" i="2"/>
  <c r="S138" i="2"/>
  <c r="S114" i="2"/>
  <c r="S106" i="2"/>
  <c r="E9" i="1"/>
  <c r="S162" i="2"/>
  <c r="S154" i="2"/>
  <c r="S90" i="2"/>
  <c r="S98" i="2"/>
  <c r="M20" i="2" l="1"/>
  <c r="M26" i="2"/>
  <c r="M16" i="2"/>
  <c r="M25" i="2"/>
  <c r="M22" i="2"/>
  <c r="N20" i="2"/>
  <c r="G20" i="2" s="1"/>
  <c r="M28" i="2"/>
  <c r="M23" i="2"/>
  <c r="M24" i="2"/>
  <c r="M17" i="2"/>
  <c r="M30" i="2"/>
  <c r="M18" i="2"/>
  <c r="M27" i="2"/>
  <c r="M19" i="2"/>
  <c r="M29" i="2"/>
  <c r="N21" i="2"/>
  <c r="D21" i="2" s="1"/>
  <c r="N25" i="2" l="1"/>
  <c r="I25" i="2"/>
  <c r="N16" i="2"/>
  <c r="D16" i="2" s="1"/>
  <c r="N26" i="2"/>
  <c r="I26" i="2" s="1"/>
  <c r="I20" i="2"/>
  <c r="N22" i="2"/>
  <c r="F22" i="2" s="1"/>
  <c r="I21" i="2"/>
  <c r="D26" i="2"/>
  <c r="C26" i="2"/>
  <c r="G22" i="2"/>
  <c r="H25" i="2"/>
  <c r="C25" i="2"/>
  <c r="F25" i="2"/>
  <c r="E20" i="2"/>
  <c r="K20" i="2"/>
  <c r="D20" i="2"/>
  <c r="K21" i="2"/>
  <c r="H21" i="2"/>
  <c r="J25" i="2"/>
  <c r="G21" i="2"/>
  <c r="N19" i="2"/>
  <c r="I19" i="2" s="1"/>
  <c r="F26" i="2"/>
  <c r="N18" i="2"/>
  <c r="H18" i="2" s="1"/>
  <c r="H26" i="2"/>
  <c r="B16" i="2"/>
  <c r="G16" i="2"/>
  <c r="B20" i="2"/>
  <c r="F20" i="2"/>
  <c r="B25" i="2"/>
  <c r="N17" i="2"/>
  <c r="C17" i="2" s="1"/>
  <c r="B21" i="2"/>
  <c r="B26" i="2"/>
  <c r="J26" i="2"/>
  <c r="H16" i="2"/>
  <c r="J20" i="2"/>
  <c r="H20" i="2"/>
  <c r="K25" i="2"/>
  <c r="N29" i="2"/>
  <c r="B29" i="2" s="1"/>
  <c r="N24" i="2"/>
  <c r="K24" i="2" s="1"/>
  <c r="N27" i="2"/>
  <c r="G27" i="2" s="1"/>
  <c r="G26" i="2"/>
  <c r="F16" i="2"/>
  <c r="C22" i="2"/>
  <c r="E21" i="2"/>
  <c r="J21" i="2"/>
  <c r="K26" i="2"/>
  <c r="E26" i="2"/>
  <c r="C16" i="2"/>
  <c r="N23" i="2"/>
  <c r="K23" i="2" s="1"/>
  <c r="C20" i="2"/>
  <c r="E25" i="2"/>
  <c r="D25" i="2"/>
  <c r="C21" i="2"/>
  <c r="N28" i="2"/>
  <c r="C28" i="2" s="1"/>
  <c r="F21" i="2"/>
  <c r="N30" i="2"/>
  <c r="K30" i="2" s="1"/>
  <c r="F30" i="2"/>
  <c r="G25" i="2"/>
  <c r="I17" i="2" l="1"/>
  <c r="J30" i="2"/>
  <c r="H22" i="2"/>
  <c r="K16" i="2"/>
  <c r="I28" i="2"/>
  <c r="I18" i="2"/>
  <c r="J22" i="2"/>
  <c r="I29" i="2"/>
  <c r="E30" i="2"/>
  <c r="E22" i="2"/>
  <c r="B22" i="2"/>
  <c r="I24" i="2"/>
  <c r="I16" i="2"/>
  <c r="D22" i="2"/>
  <c r="I30" i="2"/>
  <c r="I27" i="2"/>
  <c r="J24" i="2"/>
  <c r="J16" i="2"/>
  <c r="K22" i="2"/>
  <c r="I23" i="2"/>
  <c r="E16" i="2"/>
  <c r="I22" i="2"/>
  <c r="D24" i="2"/>
  <c r="D17" i="2"/>
  <c r="H17" i="2"/>
  <c r="F17" i="2"/>
  <c r="H30" i="2"/>
  <c r="H19" i="2"/>
  <c r="E27" i="2"/>
  <c r="E29" i="2"/>
  <c r="B19" i="2"/>
  <c r="H27" i="2"/>
  <c r="J29" i="2"/>
  <c r="B27" i="2"/>
  <c r="G29" i="2"/>
  <c r="H23" i="2"/>
  <c r="F27" i="2"/>
  <c r="H29" i="2"/>
  <c r="G30" i="2"/>
  <c r="C27" i="2"/>
  <c r="G19" i="2"/>
  <c r="F29" i="2"/>
  <c r="B30" i="2"/>
  <c r="F23" i="2"/>
  <c r="K27" i="2"/>
  <c r="C30" i="2"/>
  <c r="B23" i="2"/>
  <c r="D30" i="2"/>
  <c r="D23" i="2"/>
  <c r="D27" i="2"/>
  <c r="D29" i="2"/>
  <c r="C19" i="2"/>
  <c r="J28" i="2"/>
  <c r="C18" i="2"/>
  <c r="K29" i="2"/>
  <c r="H24" i="2"/>
  <c r="J27" i="2"/>
  <c r="F19" i="2"/>
  <c r="B28" i="2"/>
  <c r="E24" i="2"/>
  <c r="K18" i="2"/>
  <c r="E19" i="2"/>
  <c r="J19" i="2"/>
  <c r="K28" i="2"/>
  <c r="B17" i="2"/>
  <c r="D18" i="2"/>
  <c r="K19" i="2"/>
  <c r="F28" i="2"/>
  <c r="D28" i="2"/>
  <c r="E23" i="2"/>
  <c r="J23" i="2"/>
  <c r="F24" i="2"/>
  <c r="E17" i="2"/>
  <c r="J17" i="2"/>
  <c r="G18" i="2"/>
  <c r="D19" i="2"/>
  <c r="G28" i="2"/>
  <c r="E28" i="2"/>
  <c r="C23" i="2"/>
  <c r="B24" i="2"/>
  <c r="G24" i="2"/>
  <c r="K17" i="2"/>
  <c r="E18" i="2"/>
  <c r="H28" i="2"/>
  <c r="G23" i="2"/>
  <c r="C24" i="2"/>
  <c r="G17" i="2"/>
  <c r="B18" i="2"/>
  <c r="F18" i="2"/>
  <c r="C29" i="2"/>
  <c r="J18" i="2"/>
</calcChain>
</file>

<file path=xl/sharedStrings.xml><?xml version="1.0" encoding="utf-8"?>
<sst xmlns="http://schemas.openxmlformats.org/spreadsheetml/2006/main" count="3684" uniqueCount="783">
  <si>
    <t>Countermeasures</t>
  </si>
  <si>
    <t>4-5 star treatments</t>
  </si>
  <si>
    <t>Avg crash reduction (CRF)</t>
  </si>
  <si>
    <t>Treatments</t>
  </si>
  <si>
    <t>INPUTS</t>
  </si>
  <si>
    <t>Area Type</t>
  </si>
  <si>
    <t>Any</t>
  </si>
  <si>
    <t>Location</t>
  </si>
  <si>
    <t>Traffic Control</t>
  </si>
  <si>
    <t>Primary Crash Type</t>
  </si>
  <si>
    <t>Lane Departure</t>
  </si>
  <si>
    <t>AADT (optional)</t>
  </si>
  <si>
    <t>Through Lanes (optional)</t>
  </si>
  <si>
    <t>Speed Limit (optional)</t>
  </si>
  <si>
    <t>Roadway Type (optional)</t>
  </si>
  <si>
    <t>Severity focus (optional)</t>
  </si>
  <si>
    <t>Rank</t>
  </si>
  <si>
    <t>Treatment</t>
  </si>
  <si>
    <t>Countermeasure</t>
  </si>
  <si>
    <t>Exp. reduction (CRF)</t>
  </si>
  <si>
    <t>CMF</t>
  </si>
  <si>
    <t>Star</t>
  </si>
  <si>
    <t>Read this before you use it</t>
  </si>
  <si>
    <t>Fit score</t>
  </si>
  <si>
    <t>Source</t>
  </si>
  <si>
    <t>v engine (hidden) v</t>
  </si>
  <si>
    <t>idx</t>
  </si>
  <si>
    <t>CM</t>
  </si>
  <si>
    <t>CRF</t>
  </si>
  <si>
    <t>AADTmin</t>
  </si>
  <si>
    <t>AADTmax</t>
  </si>
  <si>
    <t>Area</t>
  </si>
  <si>
    <t>Loc</t>
  </si>
  <si>
    <t>Control</t>
  </si>
  <si>
    <t>Tags</t>
  </si>
  <si>
    <t>crashSc</t>
  </si>
  <si>
    <t>areaSc</t>
  </si>
  <si>
    <t>locSc</t>
  </si>
  <si>
    <t>ctrlSc</t>
  </si>
  <si>
    <t>aadtSc</t>
  </si>
  <si>
    <t>Fit</t>
  </si>
  <si>
    <t>Priority</t>
  </si>
  <si>
    <t>RoadCls</t>
  </si>
  <si>
    <t>roadSc</t>
  </si>
  <si>
    <t>Use</t>
  </si>
  <si>
    <t>SevScope</t>
  </si>
  <si>
    <t>sevSc</t>
  </si>
  <si>
    <t>Scope text</t>
  </si>
  <si>
    <t>Caution</t>
  </si>
  <si>
    <t>Urban</t>
  </si>
  <si>
    <t>Roadway Segment</t>
  </si>
  <si>
    <t>|All|Speeding|</t>
  </si>
  <si>
    <t>Freeway/Expressway</t>
  </si>
  <si>
    <t>Arterial/Collector</t>
  </si>
  <si>
    <t>All</t>
  </si>
  <si>
    <t>Rural</t>
  </si>
  <si>
    <t>|Speeding|</t>
  </si>
  <si>
    <t>|Bicycle|</t>
  </si>
  <si>
    <t>|All|Bicycle|</t>
  </si>
  <si>
    <t>Urban/Suburban</t>
  </si>
  <si>
    <t>|Bicycle|Pedestrian|</t>
  </si>
  <si>
    <t>|Bicycle|Nighttime|Pedestrian|</t>
  </si>
  <si>
    <t>Intersection</t>
  </si>
  <si>
    <t>Signalized</t>
  </si>
  <si>
    <t>Midblock Crossing</t>
  </si>
  <si>
    <t>Uncontrolled</t>
  </si>
  <si>
    <t>|Pedestrian|</t>
  </si>
  <si>
    <t>|All|Pedestrian|</t>
  </si>
  <si>
    <t>|All|Angle|Bicycle|Pedestrian|Rear-End|</t>
  </si>
  <si>
    <t>|Angle|Bicycle|Pedestrian|Rear-End|</t>
  </si>
  <si>
    <t>|Lane Departure|Nighttime|Roadway Departure|</t>
  </si>
  <si>
    <t>|All|Lane Departure|Roadway Departure|</t>
  </si>
  <si>
    <t>|Head-On|Lane Departure|Nighttime|Roadway Departure|Sideswipe|</t>
  </si>
  <si>
    <t>|Head-On|Lane Departure|Roadway Departure|Sideswipe|</t>
  </si>
  <si>
    <t>|Lane Departure|Roadway Departure|</t>
  </si>
  <si>
    <t>|All|Angle|Rear-End|</t>
  </si>
  <si>
    <t>|All|Angle|Head-On|Rear-End|</t>
  </si>
  <si>
    <t>|Angle|Head-On|Rear-End|</t>
  </si>
  <si>
    <t>|Angle|Head-On|Lane Departure|Rear-End|</t>
  </si>
  <si>
    <t>|All|Angle|Rear-End|Right Turn|</t>
  </si>
  <si>
    <t>|Angle|Rear-End|Right Turn|</t>
  </si>
  <si>
    <t>|All|Angle|Head-On|Left Turn|Rear-End|</t>
  </si>
  <si>
    <t>|Angle|Head-On|Left Turn|Rear-End|</t>
  </si>
  <si>
    <t>|All|Angle|Head-On|</t>
  </si>
  <si>
    <t>Stop-Controlled</t>
  </si>
  <si>
    <t>|Angle|</t>
  </si>
  <si>
    <t>|All|Angle|</t>
  </si>
  <si>
    <t>|Angle|Nighttime|</t>
  </si>
  <si>
    <t>|Nighttime|Pedestrian|</t>
  </si>
  <si>
    <t>|Nighttime|</t>
  </si>
  <si>
    <t>|All|Nighttime|</t>
  </si>
  <si>
    <t>|Nighttime|Rear-End|</t>
  </si>
  <si>
    <t>|All|Lane Departure|Roadway Departure|Wet/Friction|</t>
  </si>
  <si>
    <t>|Lane Departure|Roadway Departure|Wet/Friction|</t>
  </si>
  <si>
    <t>Area type</t>
  </si>
  <si>
    <t>Intersection?</t>
  </si>
  <si>
    <t>Crash type(s)</t>
  </si>
  <si>
    <t>Traffic control</t>
  </si>
  <si>
    <t>Other site conditions</t>
  </si>
  <si>
    <t>Exclusions</t>
  </si>
  <si>
    <t># Treat.</t>
  </si>
  <si>
    <t>Speed Management</t>
  </si>
  <si>
    <t>CM: Appropriate Speed Limits for All Road Users</t>
  </si>
  <si>
    <t>Speeding-related (any crash type)</t>
  </si>
  <si>
    <t>-</t>
  </si>
  <si>
    <t>Speed Related = Racing (1) or Exceeded Speed Limit (2)</t>
  </si>
  <si>
    <t>Pedestrian/Bicyclist</t>
  </si>
  <si>
    <t>CM: Bicycle Lanes</t>
  </si>
  <si>
    <t>Bicycle</t>
  </si>
  <si>
    <t>CM: Crosswalk Visibility Enhancements</t>
  </si>
  <si>
    <t>Pedestrian Related = Yes
or Vulnerable Road User Related = Yes
and Intersection Related = Yes</t>
  </si>
  <si>
    <t>Urban / Suburban</t>
  </si>
  <si>
    <t>Yes</t>
  </si>
  <si>
    <t>Pedestrian, Bicycle</t>
  </si>
  <si>
    <t>( First Harmful Event = Pedestrian (26) or Pedalcycle (25)
  or Non-Motorist Unit Type = Bicyclist (66) or Other Cyclist (67) )
and Relation to Junction = Intersection or Related (05)</t>
  </si>
  <si>
    <t>CM: Leading Pedestrian Interval</t>
  </si>
  <si>
    <t>Turning vehicle</t>
  </si>
  <si>
    <t>Relation to Junction = Intersection or Related (05)
and Traffic Control Device = Traffic Control Signal (17)
and First Harmful Event = Pedestrian (26) or Pedalcycle (25)
and VEHICLE Action Prior to Impact = Turning Left (10) or Turning Right (11)</t>
  </si>
  <si>
    <t>CM: Medians and Pedestrian Refuge Islands in Urban and Suburban Areas</t>
  </si>
  <si>
    <t>Pedestrian Related = Yes
and Intersection Related = No</t>
  </si>
  <si>
    <t>No (midblock)</t>
  </si>
  <si>
    <t>Pedestrian</t>
  </si>
  <si>
    <t>Through Lanes &gt;= 4</t>
  </si>
  <si>
    <t>First Harmful Event = Pedestrian (26)
and Relation to Junction = Non-Junction (00)
and Through Lanes &gt;= 4</t>
  </si>
  <si>
    <t>CM: Pedestrian Hybrid Beacons</t>
  </si>
  <si>
    <t>Uncontrolled (no signal)</t>
  </si>
  <si>
    <t>Through Lanes &gt;= 2, Speed Limit &gt;= 35</t>
  </si>
  <si>
    <t>First Harmful Event = Pedestrian (26) or Pedalcycle (25)
and Relation to Junction = Non-Junction (00)
and Traffic Control Device is not Traffic Control Signal (17)
and Through Lanes &gt;= 2
and Speed Limit &gt;= 35</t>
  </si>
  <si>
    <t>CM: Rectangular Rapid Flashing Beacons (RRFB)</t>
  </si>
  <si>
    <t>First Harmful Event = Pedestrian (26) or Pedalcycle (25)
and Relation to Junction = Non-Junction (00)
and Traffic Control Device is not Traffic Control Signal (17)</t>
  </si>
  <si>
    <t>CM: Road Diets (Roadway Reconfiguration)</t>
  </si>
  <si>
    <t>Rear-end, Head-on, Angle, Pedestrian, Bicycle</t>
  </si>
  <si>
    <t>Through Lanes = 4 and Trafficway = Two-Way Not Divided</t>
  </si>
  <si>
    <t>Urban Interstate and Urban Freeway/Expressway excluded</t>
  </si>
  <si>
    <t>Through Lanes = 4
and Trafficway = Two-Way, Not Divided
and road is Urban (exclude Urban Interstate and Urban Freeway/Expressway)
and ( Manner of Collision = Front To Rear (10), Front To Front (20), or Angle (80)
      or First Harmful Event = Pedestrian (26) or Pedalcycle (25) )</t>
  </si>
  <si>
    <t>CM: Walkways</t>
  </si>
  <si>
    <t>Pedestrian walking along the road</t>
  </si>
  <si>
    <t>First Harmful Event = Pedestrian (26)
and Relation to Junction = Non-Junction (00)
and NON-MOTORIST Action Prior to Impact = Walking Along Roadway With Traffic (27), Against Traffic (28), or Adjacent to Roadway (31)</t>
  </si>
  <si>
    <t>Roadway Departure</t>
  </si>
  <si>
    <t>CM: Enhanced Delineation for Horizontal Curves</t>
  </si>
  <si>
    <t>No (segment)</t>
  </si>
  <si>
    <t>Lane departure (run-off-road + cross-centerline)</t>
  </si>
  <si>
    <t>Alignment = Curve Left (02) or Curve Right (03), or Vehicle Action Prior to Impact = Negotiating a Curve (07)</t>
  </si>
  <si>
    <t>Pedestrian, bicycle, animal, obstruction-in-roadway and debris crashes excluded</t>
  </si>
  <si>
    <t>CM: Centerline Rumble Strips (Two-Lane Roads)</t>
  </si>
  <si>
    <t>Lane Departure = Yes
and Roadway Departure = No</t>
  </si>
  <si>
    <t>Rural (studies) / any</t>
  </si>
  <si>
    <t>Head-on, Sideswipe opposite direction, Cross-centerline</t>
  </si>
  <si>
    <t>Through Lanes = 2 and Trafficway = Two-Way, Not Divided</t>
  </si>
  <si>
    <t>Animal crashes excluded</t>
  </si>
  <si>
    <t>Relation to Junction = Non-Junction (00)
and Through Lanes = 2 and Trafficway = Two-Way, Not Divided
and ( Manner of Collision = Front To Front (20) or Sideswipe Opposite Direction (40)
      or Sequence of Events = Cross Centerline (01) )
and Most Harmful Event is not Animal-Deer (20) or Animal-Not Deer (21)</t>
  </si>
  <si>
    <t>CM: Shoulder Rumble Strips</t>
  </si>
  <si>
    <t xml:space="preserve">Roadway Departure = Yes
</t>
  </si>
  <si>
    <t>Run-off-road (single vehicle)</t>
  </si>
  <si>
    <t>Relation to Junction = Non-Junction (00)
and Manner of Collision = Not a Collision with Motor Vehicle in Transport (00)
and First Harmful Event is not Pedestrian (26) or Pedalcycle (25)
and Most Harmful Event is not Animal-Deer (20) or Animal-Not Deer (21)
and Contributing Roadway Condition is not Obstruction in Roadway (11) or Debris (10)
[optional refinement, NOT a gate: Sequence of Events = Ran Off Road Left (06) or Right (07)]</t>
  </si>
  <si>
    <t>CM: Median Barriers</t>
  </si>
  <si>
    <t>Cross-median, Head-on, Sideswipe opposite direction</t>
  </si>
  <si>
    <t>Divided roadway with a median</t>
  </si>
  <si>
    <t>Crashes into an existing barrier excluded</t>
  </si>
  <si>
    <t>Relation to Junction = Non-Junction (00)
and ( Manner of Collision = Front To Front (20) or Sideswipe Opposite Direction (40)
      or Sequence of Events = Cross Median (02) or Cross Centerline (01) )
and Most Harmful Event is a rollover or a fixed object a barrier would have stopped
and Most Harmful Event is not an existing barrier (Guardrail 41, Median Barrier 44, Bridge Rail 42)</t>
  </si>
  <si>
    <t>CM: Roadside Design Improvements at Curves</t>
  </si>
  <si>
    <t>Run-off-road, single vehicle, fixed object</t>
  </si>
  <si>
    <t>Alignment = Curve Left (02) or Curve Right (03); Number of Vehicles = 1</t>
  </si>
  <si>
    <t>Existing-barrier strikes, pedestrian, bicycle, animal, obstruction and debris crashes excluded</t>
  </si>
  <si>
    <t>Relation to Junction = Non-Junction (00)
and Alignment = Curve Left (02) or Curve Right (03)
and Number of Vehicles = 1
and Most Harmful Event = a roadside fixed object (Tree 57, Utility Pole 59, Culvert, Ditch, Embankment, Sign Post...)
and Manner of Collision = Not a Collision with Motor Vehicle in Transport (00)
and First Harmful Event is not Pedestrian (26) or Pedalcycle (25)
and Most Harmful Event is not Animal-Deer (20) or Animal-Not Deer (21)
and Contributing Roadway Condition is not Obstruction in Roadway (11) or Debris (10)
[optional refinement, NOT a gate: Sequence of Events = Ran Off Road Left (06) or Right (07)]</t>
  </si>
  <si>
    <t>CM: Roadside Barriers (Guardrail)</t>
  </si>
  <si>
    <t>Number of Vehicles = 1</t>
  </si>
  <si>
    <t>CM: SafetyEdge℠</t>
  </si>
  <si>
    <t>Rural (typical)</t>
  </si>
  <si>
    <t>Run-off-road, single vehicle</t>
  </si>
  <si>
    <t>CM: Wider Edge Lines</t>
  </si>
  <si>
    <t>Intersections</t>
  </si>
  <si>
    <t>CM: Backplates with Retroreflective Borders</t>
  </si>
  <si>
    <t>Angle, Rear-end</t>
  </si>
  <si>
    <t>Relation to Junction = Intersection or Related (05)
and Traffic Control Device = Traffic Control Signal (17)
and Manner of Collision = Angle (80) or Front To Rear (10)</t>
  </si>
  <si>
    <t>CM: Corridor Access Management</t>
  </si>
  <si>
    <t>Yes (intersection or driveway)</t>
  </si>
  <si>
    <t>Angle, Rear-end, Head-on</t>
  </si>
  <si>
    <t>Pedestrian and bicycle crashes excluded</t>
  </si>
  <si>
    <t>Relation to Junction = Intersection or Related (05) or Driveway Access or Related (03)
and First Harmful Event is not Pedestrian (26) or Pedalcycle (25)
and Manner of Collision = Angle (80), Front To Rear (10), or Front To Front (20)</t>
  </si>
  <si>
    <t>CM: Dedicated Right- Lanes at Intersections</t>
  </si>
  <si>
    <t>Rear-end, Angle, Right turn</t>
  </si>
  <si>
    <t>Number of Vehicles &gt;= 2</t>
  </si>
  <si>
    <t>CM: Dedicated Left- Lanes at Intersections</t>
  </si>
  <si>
    <t>Angle, Rear-end, Head-on, Left turn</t>
  </si>
  <si>
    <t>CM: Reduced Left-Turn Conflict Intersections</t>
  </si>
  <si>
    <t>Angle, Head-on, Left turn</t>
  </si>
  <si>
    <t>CM: Protected/Permissive Left-Turn Phasing</t>
  </si>
  <si>
    <t>Relation to Junction = Intersection or Related (05)
and Traffic Control Device = Traffic Control Signal (17)
and Vehicle Action Prior to Impact = Turning Left (10)
and Manner of Collision = Angle (80) or Front To Front (20)</t>
  </si>
  <si>
    <t>CM: Roundabouts</t>
  </si>
  <si>
    <t>Angle, Head-on</t>
  </si>
  <si>
    <t>Type of Intersection = T (01), Y (02), Four Leg (04), or Five Leg or More (05)
and Relation to Junction = Intersection or Related (05)
and Number of Vehicles &gt;= 2
and Manner of Collision = Angle (80) or Front To Front (20)</t>
  </si>
  <si>
    <t>CM: Convert Minor-Road Stop to All-Way Stop Control</t>
  </si>
  <si>
    <t>Angle</t>
  </si>
  <si>
    <t>Stop-controlled</t>
  </si>
  <si>
    <t>Relation to Junction = Intersection or Related (05)
and Traffic Control Device = Stop Sign (08)
and Manner of Collision = Angle (80)</t>
  </si>
  <si>
    <t>CM: Intersection Conflict Warning Systems (ICWS)</t>
  </si>
  <si>
    <t>Relation to Junction = Intersection or Related (05)
and Traffic Control Device = Stop Sign (08)
and Manner of Collision = Angle (80)
and Area Type = Rural</t>
  </si>
  <si>
    <t>CM: Systemic Application of Multiple Low-Cost Countermeasures at Stop-Controlled Intersections</t>
  </si>
  <si>
    <t>All crash types</t>
  </si>
  <si>
    <t>Signalized intersections excluded</t>
  </si>
  <si>
    <t>Relation to Junction = Intersection or Related (05)
and Traffic Control Device = Stop Sign (08)
and Type of Intersection = T (01), Y (02), or Four Leg (04)</t>
  </si>
  <si>
    <t>CM: Yellow Change Intervals</t>
  </si>
  <si>
    <t>Rear-end, Angle</t>
  </si>
  <si>
    <t>Red-light running</t>
  </si>
  <si>
    <t>Relation to Junction = Intersection or Related (05)
and Traffic Control Device = Traffic Control Signal (17)
and Manner of Collision = Front To Rear (10) or Angle (80)
and Driver Action = Ran Red Light (01)</t>
  </si>
  <si>
    <t>Crosscutting</t>
  </si>
  <si>
    <t>CM: Lighting</t>
  </si>
  <si>
    <t>All crash types except plain rear-end</t>
  </si>
  <si>
    <t>Dark light conditions</t>
  </si>
  <si>
    <t>Front To Rear (10) excluded</t>
  </si>
  <si>
    <t>Light Condition = Dark-Not Lighted (04), Dark-Lighted (05), or Dark-Unknown Lighting (06)
and Manner of Collision is not Front To Rear (10)</t>
  </si>
  <si>
    <t>CM: Pavement Friction Management</t>
  </si>
  <si>
    <t>Wet-road, Run-off-road, Curve</t>
  </si>
  <si>
    <t>Road Surface Condition = Wet (02), Ice/Frost (05), or Slush (04)</t>
  </si>
  <si>
    <t>Default CMF (K)</t>
  </si>
  <si>
    <t>Default CMF (A)</t>
  </si>
  <si>
    <t>Default CMF (B)</t>
  </si>
  <si>
    <t>Default CMF (C)</t>
  </si>
  <si>
    <t>Default CMF (O)</t>
  </si>
  <si>
    <t>Default Service Years</t>
  </si>
  <si>
    <t>Date Added</t>
  </si>
  <si>
    <t>Added By</t>
  </si>
  <si>
    <t>Checked By</t>
  </si>
  <si>
    <t>CMF ID</t>
  </si>
  <si>
    <t>CRF %</t>
  </si>
  <si>
    <t>KABCO Severity</t>
  </si>
  <si>
    <t>Crash Type (CMF)</t>
  </si>
  <si>
    <t>Roadway Type</t>
  </si>
  <si>
    <t>AADT Min</t>
  </si>
  <si>
    <t>AADT Max</t>
  </si>
  <si>
    <t>AADT Avg</t>
  </si>
  <si>
    <t>Intersection / Control</t>
  </si>
  <si>
    <t>Speed Limit</t>
  </si>
  <si>
    <t>In HSM</t>
  </si>
  <si>
    <t>Sample (sites / crashes)</t>
  </si>
  <si>
    <t>Study Method</t>
  </si>
  <si>
    <t>Background / Notes</t>
  </si>
  <si>
    <t>Severity scope</t>
  </si>
  <si>
    <t>Crash-type scope</t>
  </si>
  <si>
    <t>SCDOT applicability check</t>
  </si>
  <si>
    <t>Lane departure CMF?</t>
  </si>
  <si>
    <t>Install Automated Section Speed Enforcement System</t>
  </si>
  <si>
    <t>CMF: 7718</t>
  </si>
  <si>
    <t xml:space="preserve">Original </t>
  </si>
  <si>
    <t>K (fatal),A (serious injury),B (minor injury),C (possible injury)</t>
  </si>
  <si>
    <t>Principal Arterial Other Freeways and Expressways</t>
  </si>
  <si>
    <t>NR</t>
  </si>
  <si>
    <t>Not reported</t>
  </si>
  <si>
    <t>80-80</t>
  </si>
  <si>
    <t>no</t>
  </si>
  <si>
    <t>50+ sites / 700+ crashes</t>
  </si>
  <si>
    <t>Before/after using empirical Bayes or full Bayes</t>
  </si>
  <si>
    <t>The authors note that crash reduction effects decreased over time and speed, speed variability, and non-compliance to speed limits significantly increased over time.</t>
  </si>
  <si>
    <t>Fatal &amp; injury only</t>
  </si>
  <si>
    <t>Study sites were Principal Arterial Other Freeways and Expressways. Do NOT apply to collectors or local roads - the team ruled that out in review. AADT range not reported by the study - the selector cannot score AADT fit for this row.</t>
  </si>
  <si>
    <t>No</t>
  </si>
  <si>
    <t>Implement Automated Speed Enforcement Cameras</t>
  </si>
  <si>
    <t>CMF: 2915</t>
  </si>
  <si>
    <t>Principal Arterial Other</t>
  </si>
  <si>
    <t>25-49 sites / unknown crashes</t>
  </si>
  <si>
    <t>All crashes</t>
  </si>
  <si>
    <t>AADT range not reported by the study - the selector cannot score AADT fit for this row.</t>
  </si>
  <si>
    <t>Install Variable Speed Limit (Vsl)</t>
  </si>
  <si>
    <t>CMF: 11002</t>
  </si>
  <si>
    <t>Not specified</t>
  </si>
  <si>
    <t>Principal Arterial Interstate</t>
  </si>
  <si>
    <t>35-75</t>
  </si>
  <si>
    <t>50-99 sites / 700+ crashes</t>
  </si>
  <si>
    <t>Regression cross-section</t>
  </si>
  <si>
    <t>Study sites were Principal Arterial Interstate. Do NOT apply to collectors or local roads - the team ruled that out in review. Study AADT 10194-11090 is well below SCDOT's typical volume on that functional class (~17,000 average, higher on the busiest routes). Check the site AADT before using this CMF. Valid AADT range tested: 10,194-11,090.</t>
  </si>
  <si>
    <t>Install Variable Speed Limit</t>
  </si>
  <si>
    <t>CMF: 11832</t>
  </si>
  <si>
    <t xml:space="preserve">Added  </t>
  </si>
  <si>
    <t>K (fatal), A (serious injury), B (minor injury), C (possible injury)</t>
  </si>
  <si>
    <t>50+ sites / unknown crashes</t>
  </si>
  <si>
    <t>This CMF is for I-5.</t>
  </si>
  <si>
    <t>Study sites were Principal Arterial Interstate. Do NOT apply to collectors or local roads - the team ruled that out in review. Valid AADT range tested: 53,729-282,619.</t>
  </si>
  <si>
    <t>Install Dynamic Speed Feedback Sign</t>
  </si>
  <si>
    <t>CMF: 6886</t>
  </si>
  <si>
    <t>50-65</t>
  </si>
  <si>
    <t>&lt;25 or unknown sites / &lt;250 crashes</t>
  </si>
  <si>
    <t>This CMF applies to two-lane rural horizontal curves for crashes involving vehicles traveling in the direction of the DSFS system.</t>
  </si>
  <si>
    <t>Valid AADT range tested: 400-8,400.</t>
  </si>
  <si>
    <t>CMF: 7714</t>
  </si>
  <si>
    <t>Single vehicle</t>
  </si>
  <si>
    <t>Only: Single vehicle</t>
  </si>
  <si>
    <t>Implement Mobile Automated Speed Enforcement System</t>
  </si>
  <si>
    <t>CMF: 7582</t>
  </si>
  <si>
    <t>The number of crashes in the after period were not reported in this study, however, they have been recorded as 300 to give 10 points as a beneift of doubt for one or more of the following: (1) number of miles/sites in the reference/treatment group, (2) number of crashes in the references/treatment group, (3) reporting AADTs for the aggregate dataset but not for the disaggragate dataset used for CMF development.</t>
  </si>
  <si>
    <t>Valid AADT range tested: 2,079-22,960.</t>
  </si>
  <si>
    <t>CMF: 2923</t>
  </si>
  <si>
    <t>O (property damage only)</t>
  </si>
  <si>
    <t>PDO only</t>
  </si>
  <si>
    <t>Install Automated Section Speed Enforcement System On Curves</t>
  </si>
  <si>
    <t>CMF: 4146</t>
  </si>
  <si>
    <t>130-130</t>
  </si>
  <si>
    <t>50+ sites / &lt;250 crashes</t>
  </si>
  <si>
    <t>Study sites were Principal Arterial Other Freeways and Expressways. Do NOT apply to collectors or local roads - the team ruled that out in review. Valid AADT range tested: 23,000-42,000.</t>
  </si>
  <si>
    <t>Convert Traditional Or Flush Buffered Bike Lane To Sbl With Flexi-Posts</t>
  </si>
  <si>
    <t>CMF: 11296</t>
  </si>
  <si>
    <t>Vehicle/bicycle</t>
  </si>
  <si>
    <t>100+ sites / unknown crashes</t>
  </si>
  <si>
    <t>The after condition is SBL with Flexible Delineator Posts.</t>
  </si>
  <si>
    <t>Only: Vehicle/bicycle</t>
  </si>
  <si>
    <t>Install Bicycle Lanes</t>
  </si>
  <si>
    <t>CMF: 10738</t>
  </si>
  <si>
    <t>100+ sites / 700+ crashes</t>
  </si>
  <si>
    <t>This CMF is for bicycle lane addition resulting in reduced shoulder or lane width and 20 percent increase in average daily bicycle traffic (ADBT). The base condition was 11-ft lanes, no shoulder, no median, and four-lane urban collector or local road.</t>
  </si>
  <si>
    <t>Valid AADT range tested: 10-92,462.</t>
  </si>
  <si>
    <t>Install Bicycle Boulevard</t>
  </si>
  <si>
    <t>CMF: 3092</t>
  </si>
  <si>
    <t>Urban and suburban</t>
  </si>
  <si>
    <t>Not Specified</t>
  </si>
  <si>
    <t>Non-regression cross-section</t>
  </si>
  <si>
    <t>Convert Flush Buffered Bike Lane To SBL With Flexi-Posts</t>
  </si>
  <si>
    <t>CMF: 11295</t>
  </si>
  <si>
    <t>Install Separated Bicycle Lane</t>
  </si>
  <si>
    <t>CMF: 11553</t>
  </si>
  <si>
    <t>Roadway/roadway (not interchange related)</t>
  </si>
  <si>
    <t>This CMF is for non-weather related crashes. CMF is presented in Table 20 in the report</t>
  </si>
  <si>
    <t>Valid AADT range tested: 2,678-46,640.</t>
  </si>
  <si>
    <t>Convert Traditional Bike Lane To SBL With Flexi-Posts</t>
  </si>
  <si>
    <t>CMF: 11294</t>
  </si>
  <si>
    <t>Convert Flush Buffered Bike Lane To SBL With A Blend Of Flexi-Post And Other Vertical Elements</t>
  </si>
  <si>
    <t>CMF: 11302</t>
  </si>
  <si>
    <t>The after condition is SBL with blend of flexible delineator posts and other vertical elements.</t>
  </si>
  <si>
    <t>CMF: 11555</t>
  </si>
  <si>
    <t>This CMF is for intersections with bike lanes mixed with through and right turn lanes. CMF is presented in Table 18 in the report.</t>
  </si>
  <si>
    <t>Install High-Visibility Crosswalk</t>
  </si>
  <si>
    <t>CMF: 4123</t>
  </si>
  <si>
    <t>Vehicle/pedestrian</t>
  </si>
  <si>
    <t>50+ sites / 500-699 crashes</t>
  </si>
  <si>
    <t>Simple before/after</t>
  </si>
  <si>
    <t>Only: Vehicle/pedestrian</t>
  </si>
  <si>
    <t>Provide Intersection Illumination</t>
  </si>
  <si>
    <t>CMF: 436</t>
  </si>
  <si>
    <t>A (serious injury),B (minor injury),C (possible injury)</t>
  </si>
  <si>
    <t>Nighttime,Vehicle/pedestrian</t>
  </si>
  <si>
    <t>italics</t>
  </si>
  <si>
    <t>Meta-analysis</t>
  </si>
  <si>
    <t>Countermeasure name changed to match HSM</t>
  </si>
  <si>
    <t>Only: Nighttime,Vehicle/pedestrian</t>
  </si>
  <si>
    <t>Install High-Visibility Yellow, Continental Type Crosswalks At Schools</t>
  </si>
  <si>
    <t>CMF: 2697</t>
  </si>
  <si>
    <t>50+ sites / 250-499 crashes</t>
  </si>
  <si>
    <t>Valid AADT range tested: 567-43,199.</t>
  </si>
  <si>
    <t>Modify Signal Phasing (Implement A Leading Pedestrian Interval)</t>
  </si>
  <si>
    <t>CMF: 9918</t>
  </si>
  <si>
    <t>Crash Type = Vehicle - Pedestrian Crashes. This CMF is for sites where LPIs were implemented either at all crossings (across major and minor roads) or only for crossings across the minor road (parallel to the major road).</t>
  </si>
  <si>
    <t>CMF: 9903</t>
  </si>
  <si>
    <t>Valid AADT range tested: 6,650-32,363.</t>
  </si>
  <si>
    <t>Install Raised Median With Marked Crosswalk (Uncontrolled)</t>
  </si>
  <si>
    <t>CMF: 175</t>
  </si>
  <si>
    <t>Urban and Suburban</t>
  </si>
  <si>
    <t>100+ sites / &lt;250 crashes</t>
  </si>
  <si>
    <t>The study design was a simple comparison of crash rates, controlling for pedestrian and traffic volume.</t>
  </si>
  <si>
    <t>Install Raised Median With Or Without Marked Crosswalk (Uncontrolled)</t>
  </si>
  <si>
    <t>CMF: 8799</t>
  </si>
  <si>
    <t>Minor Arterial</t>
  </si>
  <si>
    <t>Methodology used was a combination of EB before-after and cross-sectional estimations. Also, study sites were a combination of intersection and mid-block locations.</t>
  </si>
  <si>
    <t>Valid AADT range tested: 1,245-46,000.</t>
  </si>
  <si>
    <t>Install Raised Median</t>
  </si>
  <si>
    <t>CMF: 2219</t>
  </si>
  <si>
    <t>Valid AADT range tested: 1,390-51,200.</t>
  </si>
  <si>
    <t>Install A Pedestrian Hybrid Beacon (Phb Or Hawk)</t>
  </si>
  <si>
    <t>CMF: 9020</t>
  </si>
  <si>
    <t>100+ sites / 250-499 crashes</t>
  </si>
  <si>
    <t>Valid AADT range tested: 6,634-48,791.</t>
  </si>
  <si>
    <t>Install Pedestrian Hybrid Beacon (PHB Or HAWK) With Advanced Yield Or Stop Markings And Signs</t>
  </si>
  <si>
    <t>CMF: 9021</t>
  </si>
  <si>
    <t>Install A Pedestrian Hybrid Beacon (PHB Or HAWK)</t>
  </si>
  <si>
    <t>CMF: 10607</t>
  </si>
  <si>
    <t>The reference group consisted of 101 unsignalized and 56 signalized intersections.</t>
  </si>
  <si>
    <t>Valid AADT range tested: 5,400-47,627.</t>
  </si>
  <si>
    <t>Install Rectangular Rapid Flashing Beacon (Rrfb)</t>
  </si>
  <si>
    <t>CMF: 9024</t>
  </si>
  <si>
    <t>Valid AADT range tested: 533-49,402.</t>
  </si>
  <si>
    <t>Install Rectangular Rapid Flashing Beacon (RRFB)</t>
  </si>
  <si>
    <t>CMF: 11169</t>
  </si>
  <si>
    <t>Roadway/pedestrian crossing (eg, midblock crossing)</t>
  </si>
  <si>
    <t>It is the CMF for injury crashes in pedestrian crashes.</t>
  </si>
  <si>
    <t>Converting Four-Lane Roadways To Three-Lane Roadways With Center Turn Lane (Road Diet)</t>
  </si>
  <si>
    <t>CMF: 5554</t>
  </si>
  <si>
    <t>Valid AADT range tested: 2,030-15,350.</t>
  </si>
  <si>
    <t>Road Diet (Convert 4-Lane Undivided Road To 2-Lanes Plus Turning Lane)</t>
  </si>
  <si>
    <t>CMF: 10376</t>
  </si>
  <si>
    <t>Non-intersection</t>
  </si>
  <si>
    <t>Safety performance function for 4-lane highway used for the analysis has been previously developed for the state of Louisiana.</t>
  </si>
  <si>
    <t>Only: Non-intersection</t>
  </si>
  <si>
    <t>Valid AADT range tested: 8,333-13,900.</t>
  </si>
  <si>
    <t>CMF: 5553</t>
  </si>
  <si>
    <t>Install Sidewalk</t>
  </si>
  <si>
    <t>CMF: 11246</t>
  </si>
  <si>
    <t>Install Chevron Signs On Horizontal Curves</t>
  </si>
  <si>
    <t>CMF: 2439</t>
  </si>
  <si>
    <t>Nighttime,Non-intersection</t>
  </si>
  <si>
    <t>Only: Nighttime,Non-intersection</t>
  </si>
  <si>
    <t>Valid AADT range tested: 261-14,790.</t>
  </si>
  <si>
    <t>Install Oversized Chevron Signs</t>
  </si>
  <si>
    <t>CMF: 8978</t>
  </si>
  <si>
    <t>No - dropped 8/2026</t>
  </si>
  <si>
    <t>Valid AADT range tested: 173-27,235.</t>
  </si>
  <si>
    <t>Install In-Lane Curve Warning Pavement Markings</t>
  </si>
  <si>
    <t>CMF: 10312</t>
  </si>
  <si>
    <t>This CMF is for crashes on Horizontal Curves.</t>
  </si>
  <si>
    <t>Valid AADT range tested: 100-15,998.</t>
  </si>
  <si>
    <t>CMF: 8982</t>
  </si>
  <si>
    <t>Nighttime</t>
  </si>
  <si>
    <t>Only: Nighttime</t>
  </si>
  <si>
    <t>CMF: 9167</t>
  </si>
  <si>
    <t>&lt;25 or unknown sites / 250-499 crashes</t>
  </si>
  <si>
    <t>Valid AADT range tested: 590-7,600.</t>
  </si>
  <si>
    <t>Install New Fluorescent Curve Signs Or Upgrade Existing Curve Signs To Fluorescent Sheeting</t>
  </si>
  <si>
    <t>CMF: 2434</t>
  </si>
  <si>
    <t>Valid AADT range tested: 895-20,479.</t>
  </si>
  <si>
    <t>CMF: 2440</t>
  </si>
  <si>
    <t>Head on,Nighttime,Non-intersection,Run off road,Sideswipe</t>
  </si>
  <si>
    <t>Only: Head on,Nighttime,Non-intersection,Run off road,Sideswipe</t>
  </si>
  <si>
    <t>Install A Combination Of Chevron Signs, Curve Warning Signs, And/Or Sequential Flashing Beacons</t>
  </si>
  <si>
    <t>CMF: 1861</t>
  </si>
  <si>
    <t>Study sites were Principal Arterial Other Freeways and Expressways. Do NOT apply to collectors or local roads - the team ruled that out in review. Study AADT 7400-13975 is well below SCDOT's typical volume on that functional class (~17,000 average, higher on the busiest routes). Check the site AADT before using this CMF. Valid AADT range tested: 7,400-13,975.</t>
  </si>
  <si>
    <t>Install Chevron Signs, Curve Warning Signs, And Sequential Flashing Beacons</t>
  </si>
  <si>
    <t>CMF: 1915</t>
  </si>
  <si>
    <t>Install Centerline Rumble Strips</t>
  </si>
  <si>
    <t>CMF: 3358</t>
  </si>
  <si>
    <t>Head on,Sideswipe</t>
  </si>
  <si>
    <t>The authors collected data on thru lanes and speed limits but did not provide those data in the report.</t>
  </si>
  <si>
    <t>Only: Head on,Sideswipe</t>
  </si>
  <si>
    <t>Valid AADT range tested: 574-17,591.</t>
  </si>
  <si>
    <t>Install Shoulder Rumble Strips With An Offset Of 9-20 Inches Relative To The Edgeline</t>
  </si>
  <si>
    <t>CMF: 3648</t>
  </si>
  <si>
    <t>Run off road</t>
  </si>
  <si>
    <t>&lt;50 or unknown sites / unknown crashes</t>
  </si>
  <si>
    <t>The authors collected data on thru lanes and speed limits but did not provide those data in the report (see p. 50).</t>
  </si>
  <si>
    <t>Only: Run off road</t>
  </si>
  <si>
    <t>Study sites were Principal Arterial Other Freeways and Expressways. Do NOT apply to collectors or local roads - the team ruled that out in review. Valid AADT range tested: 11,539-37,112.</t>
  </si>
  <si>
    <t>Install Shoulder Rumble Strips</t>
  </si>
  <si>
    <t>CMF: 3425</t>
  </si>
  <si>
    <t>Study sites were Principal Arterial Other Freeways and Expressways. Do NOT apply to collectors or local roads - the team ruled that out in review. Valid AADT range tested: 6,777-24,752.</t>
  </si>
  <si>
    <t>Install Sinusoidal Rumble Strip</t>
  </si>
  <si>
    <t>CMF: 11837</t>
  </si>
  <si>
    <t>Other</t>
  </si>
  <si>
    <t>This CMF is for lane departure crashes on combined roadways including two-lane rural roads and multilane highways.</t>
  </si>
  <si>
    <t>Only: Other</t>
  </si>
  <si>
    <t>CMF: 3352</t>
  </si>
  <si>
    <t>Valid AADT range tested: 1,336-13,240.</t>
  </si>
  <si>
    <t>Install Centerline Rumble Strips On Tangent Sections</t>
  </si>
  <si>
    <t>CMF: 3384</t>
  </si>
  <si>
    <t>Install Centerline Rumble Strips On Horizontal Curves</t>
  </si>
  <si>
    <t>CMF: 3375</t>
  </si>
  <si>
    <t>Valid AADT range tested: 574-20,784.</t>
  </si>
  <si>
    <t>Install Centerline And Shoulder Rumble Strips</t>
  </si>
  <si>
    <t>CMF: 6946</t>
  </si>
  <si>
    <t>CMF for fatal &amp; injury crashes excludes intersection-related and animal crashes.</t>
  </si>
  <si>
    <t>Valid AADT range tested: 154-15,848.</t>
  </si>
  <si>
    <t>CMF: 3566</t>
  </si>
  <si>
    <t>Run off road,Truck related</t>
  </si>
  <si>
    <t>25-49 sites / 700+ crashes</t>
  </si>
  <si>
    <t>Only: Run off road,Truck related</t>
  </si>
  <si>
    <t>Study sites were Principal Arterial Other Freeways and Expressways. Do NOT apply to collectors or local roads - the team ruled that out in review. Valid AADT range tested: 6,777-37,112.</t>
  </si>
  <si>
    <t>Install Median Barrier</t>
  </si>
  <si>
    <t>CMF: 7040</t>
  </si>
  <si>
    <t>Cross median</t>
  </si>
  <si>
    <t>Only: Cross median</t>
  </si>
  <si>
    <t>Install Cable Median Barrier (High Tension)</t>
  </si>
  <si>
    <t>CMF: 8214</t>
  </si>
  <si>
    <t>K (fatal),A (serious injury)</t>
  </si>
  <si>
    <t>Study sites were Principal Arterial Other Freeways and Expressways. Do NOT apply to collectors or local roads - the team ruled that out in review. Valid AADT range tested: 1,508-99,850.</t>
  </si>
  <si>
    <t>Flatten Sideslope From 1V:3H To 1V:4H</t>
  </si>
  <si>
    <t>CMF: 4627</t>
  </si>
  <si>
    <t>degree</t>
  </si>
  <si>
    <t>sites / 700+ crashes</t>
  </si>
  <si>
    <t>Expert panel</t>
  </si>
  <si>
    <t>HSM 1st Ed, Table 13-19</t>
  </si>
  <si>
    <t>Flatten Sideslope From 1V:4H To 1V:6H</t>
  </si>
  <si>
    <t>CMF: 4632</t>
  </si>
  <si>
    <t>Flatten Side Slopes</t>
  </si>
  <si>
    <t>CMF: 7179</t>
  </si>
  <si>
    <t>This CMF applies to a unit decrease in median slope ratio for rollover crashes on four-lane freeways with a flexible barrier.</t>
  </si>
  <si>
    <t>Install W-Beam Guardrail</t>
  </si>
  <si>
    <t>CMF: 8423</t>
  </si>
  <si>
    <t>Nighttime,Run off road</t>
  </si>
  <si>
    <t>50-70</t>
  </si>
  <si>
    <t>Only: Nighttime,Run off road</t>
  </si>
  <si>
    <t>Study sites were Principal Arterial Other Freeways and Expressways. Do NOT apply to collectors or local roads - the team ruled that out in review. Valid AADT range tested: 35,000-104,600.</t>
  </si>
  <si>
    <t>Install W-Beam Guardrail Or Concrete Barrier</t>
  </si>
  <si>
    <t>CMF: 8376</t>
  </si>
  <si>
    <t>K (fatal),A (serious injury),B (minor injury)</t>
  </si>
  <si>
    <t>Install Safety Edge Treatment</t>
  </si>
  <si>
    <t>CMF: 9205</t>
  </si>
  <si>
    <t>Excludes intersection-related crashes and animal-related crashes</t>
  </si>
  <si>
    <t>Valid AADT range tested: 10-18,600.</t>
  </si>
  <si>
    <t>CMF: 9677</t>
  </si>
  <si>
    <t>CMF for sites with travel lane width (two lanes)=23-24ft</t>
  </si>
  <si>
    <t>Install Wider Edgelines (4 In To 6 In)</t>
  </si>
  <si>
    <t>CMF: 4737</t>
  </si>
  <si>
    <t>Crash type also excludes intersection/interchange crashes and winter month crashes</t>
  </si>
  <si>
    <t>Install Wider Longitudinal Pavement Markings</t>
  </si>
  <si>
    <t>CMF: 10644</t>
  </si>
  <si>
    <t>The width of the longitudinal median markings was increased from 100 mm (4 in.) to 200 mm (8 in.) for divided highways. For the undivided highways, only edge line markings were widened from 100 mm (4 in.) to 200 mm (8 in.).</t>
  </si>
  <si>
    <t>Install Wider Markings With Resurfacing</t>
  </si>
  <si>
    <t>CMF: 4770</t>
  </si>
  <si>
    <t>&lt;25 or unknown sites / unknown crashes</t>
  </si>
  <si>
    <t>CMF: 4739</t>
  </si>
  <si>
    <t>Day time</t>
  </si>
  <si>
    <t>Only: Day time</t>
  </si>
  <si>
    <t>Install Wider Markings Without Resurfacing</t>
  </si>
  <si>
    <t>CMF: 4792</t>
  </si>
  <si>
    <t>Add 3-Inch Yellow Retroreflective Sheeting To Signal Backplates</t>
  </si>
  <si>
    <t>CMF: 1410</t>
  </si>
  <si>
    <t>Reduce Driveways From 10-24 To Less Than 10 Per Mile</t>
  </si>
  <si>
    <t>CMF: 179</t>
  </si>
  <si>
    <t>bold</t>
  </si>
  <si>
    <t>No - not implementable</t>
  </si>
  <si>
    <t>Reduce Driveways From 26-48 To 10-24 Per Mile</t>
  </si>
  <si>
    <t>CMF: 178</t>
  </si>
  <si>
    <t>Install TWLTL (Two-Way Left Turn Lane) On Four Lane Road</t>
  </si>
  <si>
    <t>CMF: 10375</t>
  </si>
  <si>
    <t>Valid AADT range tested: 6,800-22,141.</t>
  </si>
  <si>
    <t>Introduce TWLTL (Two-Way Left Turn Lanes) On Rural Two Lane Roads</t>
  </si>
  <si>
    <t>CMF: 585</t>
  </si>
  <si>
    <t>Rear end</t>
  </si>
  <si>
    <t>Only: Rear end</t>
  </si>
  <si>
    <t>Install TWLTL (Two-Way Left Turn Lane) On Two Lane Road</t>
  </si>
  <si>
    <t>CMF: 2344</t>
  </si>
  <si>
    <t>&lt;25 or unknown sites / 700+ crashes</t>
  </si>
  <si>
    <t>Replace TWLTL With Raised Median</t>
  </si>
  <si>
    <t>CMF: 2518</t>
  </si>
  <si>
    <t>Head on</t>
  </si>
  <si>
    <t>30-45</t>
  </si>
  <si>
    <t>Only: Head on</t>
  </si>
  <si>
    <t>Valid AADT range tested: 4,883-96,080.</t>
  </si>
  <si>
    <t>PROVIDE A RIGHT-TURN LANE ON ONE MAJOR-ROAD APPROACH</t>
  </si>
  <si>
    <t>CMF: 285</t>
  </si>
  <si>
    <t>Countermeasure name changed to match HSM The number of crashes in the after period were not reported in this study, however, they have been recorded as 300 to give 10 points as a beneift of doubt for one or more of the following: (1) number of miles/sites in the reference/treatment group, (2) number of crashes in the references/treatment group, (3) reporting AADTs for the aggregate dataset but not for the disaggragate dataset used for CMF development.</t>
  </si>
  <si>
    <t>Valid AADT range tested: 1,500-40,600.</t>
  </si>
  <si>
    <t>Improve Angle Of Channelized Right Turn Lane</t>
  </si>
  <si>
    <t>CMF: 8431</t>
  </si>
  <si>
    <t>Right turn,Other</t>
  </si>
  <si>
    <t>Crash type = "right turn related crashes at subject approach". Total intersection AADT ranged from 3300 to 41300. Group of intersections analyzed included both signalized and stop-controlled intersections.</t>
  </si>
  <si>
    <t>Only: Right turn,Other</t>
  </si>
  <si>
    <t>Change Right-Turn Lane Geometry To Increase Line Of Sight (Approach Level)</t>
  </si>
  <si>
    <t>CMF: 8499</t>
  </si>
  <si>
    <t>Right turn</t>
  </si>
  <si>
    <t>25-45</t>
  </si>
  <si>
    <t>CMF applies only to treated approaches. Intersection AADT ranges from 15,558 to 29,992. CMF applies to both stop-controlled and signalized intersections. Roadway/roadway both interchange and not-interchange related.</t>
  </si>
  <si>
    <t>Only: Right turn</t>
  </si>
  <si>
    <t>Change Right-Turn Lane Geometry To Increase Line Of Sight (Intersection Level)</t>
  </si>
  <si>
    <t>CMF: 8496</t>
  </si>
  <si>
    <t>Authors indicate that this CMF should be used with caution, since improvements were made to other approaches. Intersection AADT ranges from 15,558 to 29,992. CMF applies to both stop-controlled and signalized intersections. Roadway/roadway both interchange and not-interchange related.</t>
  </si>
  <si>
    <t>Provide A Right-Turn Lane On Both Major-Road Approaches</t>
  </si>
  <si>
    <t>CMF: 289</t>
  </si>
  <si>
    <t>Provide A Right-Turn Lane On One Major-Road Approach</t>
  </si>
  <si>
    <t>CMF: 287</t>
  </si>
  <si>
    <t>Provide A Left-Turn Lane On One Major-Road Approach</t>
  </si>
  <si>
    <t>CMF: 260</t>
  </si>
  <si>
    <t>25-49 sites / &lt;250 crashes</t>
  </si>
  <si>
    <t>Valid AADT range tested: 1,600-32,400.</t>
  </si>
  <si>
    <t>Improve Left-Turn Lane Offset To Create Positive Offset</t>
  </si>
  <si>
    <t>CMF: 6096</t>
  </si>
  <si>
    <t>CMF of shifting the left-turn lane further away from the adjacent through lane and result in a less negative offset or no offset.</t>
  </si>
  <si>
    <t>Valid AADT range tested: 7,150-29,200.</t>
  </si>
  <si>
    <t>Install Dual Left Turn Lanes (DLTLs)</t>
  </si>
  <si>
    <t>CMF: 11911</t>
  </si>
  <si>
    <t>Principal Arterial Other Freeways and Expressways, Principal Arterial Other, Minor Arterial, Major Collector</t>
  </si>
  <si>
    <t>This CMF is for all 36 treatment sites.</t>
  </si>
  <si>
    <t>Study sites were Principal Arterial Other Freeways and Expressways, Principal Arterial Other, Minor Arterial, Major Collector. Do NOT apply to collectors or local roads - the team ruled that out in review. Valid AADT range tested: 21,000-69,000.</t>
  </si>
  <si>
    <t>Install Left-Turn Lane At Signalized Intersection</t>
  </si>
  <si>
    <t>CMF: 8002</t>
  </si>
  <si>
    <t>The CMF was developed for both rural and suburban areas. The number of crashes in the after period were not reported in this study, however, they have been recorded as 300 to give 10 points as a beneift of doubt for one or more of the following: (1) number of miles/sites in the reference/treatment group, (2) number of crashes in the references/treatment group, (3) reporting AADTs for the aggregate dataset but not for the disaggragate dataset used for CMF development.</t>
  </si>
  <si>
    <t>Valid AADT range tested: 2,981-18,248.</t>
  </si>
  <si>
    <t>Provide A Left-Turn Lane On Both Major-Road Approaches</t>
  </si>
  <si>
    <t>CMF: 272</t>
  </si>
  <si>
    <t>Valid AADT range tested: 1,500-32,400.</t>
  </si>
  <si>
    <t>CMF: 255</t>
  </si>
  <si>
    <t>Introducing Zero Or Positive Offset Left-Turn Lane On Crossing Roadway</t>
  </si>
  <si>
    <t>CMF: 276</t>
  </si>
  <si>
    <t>Only: Angle</t>
  </si>
  <si>
    <t>Install J-Turn Intersection</t>
  </si>
  <si>
    <t>CMF: 5556</t>
  </si>
  <si>
    <t>65-70</t>
  </si>
  <si>
    <t>Study sites were Principal Arterial Other Freeways and Expressways. Do NOT apply to collectors or local roads - the team ruled that out in review. Valid AADT range tested: 10,326-26,470.</t>
  </si>
  <si>
    <t>Convert A Conventional Signalized Intersection To A Signalized Superstreet</t>
  </si>
  <si>
    <t>CMF: 9985</t>
  </si>
  <si>
    <t>Suburban</t>
  </si>
  <si>
    <t>40-65</t>
  </si>
  <si>
    <t>Before/after using comparison group</t>
  </si>
  <si>
    <t>Convert Intersection To Median U-Turn (Mut) Intersection</t>
  </si>
  <si>
    <t>CMF: 10867</t>
  </si>
  <si>
    <t>This CMF is for Type B MUT Intersection. A pictorial representation of Type A and Type B MUT Intersection is presented in Figure 2 in the paper.</t>
  </si>
  <si>
    <t>Valid AADT range tested: 19,267-72,074.</t>
  </si>
  <si>
    <t>Convert A Conventional Signalized Intersection To A Continuous Flow Intersection (Cfi)</t>
  </si>
  <si>
    <t>CMF: 11587</t>
  </si>
  <si>
    <t>CMF is presented in Table 35 in the report.</t>
  </si>
  <si>
    <t>Valid AADT range tested: 21,740-64,000.</t>
  </si>
  <si>
    <t>Convert Intersection To Restricted Crossing U-Turn (RCUT) Intersection</t>
  </si>
  <si>
    <t>CMF: 10384</t>
  </si>
  <si>
    <t>CMF partial RCUT with 2 minor streets. Crashes for RCUT section (including U-turns). SPF used for this analysis came from the 2010 HSM</t>
  </si>
  <si>
    <t>Valid AADT range tested: 59,833-59,833.</t>
  </si>
  <si>
    <t>Convert Intersection To Median U-Turn (MUT) Intersection</t>
  </si>
  <si>
    <t>CMF: 10858</t>
  </si>
  <si>
    <t>This CMF is for Head-On Left Turn crashes. This CMF is for Type A MUT Intersection. A pictorial representation of Type A and Type B MUT Intersection is presented in Figure 2 in the paper.</t>
  </si>
  <si>
    <t>Valid AADT range tested: 25,512-85,076.</t>
  </si>
  <si>
    <t>Change Permissive Left-Turn Phasing To Protected/Permissive</t>
  </si>
  <si>
    <t>CMF: 4270</t>
  </si>
  <si>
    <t>Left turn</t>
  </si>
  <si>
    <t>Average major and minor road volumes are computed based on weighted average in NC and Toronto. AADT applies to all sites.Assumed 2 crashes per site in both the before and after periods to estimate sample size.</t>
  </si>
  <si>
    <t>Only: Left turn</t>
  </si>
  <si>
    <t>Valid AADT range tested: 4,857-74,990.</t>
  </si>
  <si>
    <t>Change Permissive Left-Turn Phasing To Protected Only Or Protected/Permissive</t>
  </si>
  <si>
    <t>CMF: 9899</t>
  </si>
  <si>
    <t>Crash Type = Vehicle-Vehicle Crashes</t>
  </si>
  <si>
    <t>Changing Left Turn Phasing From Protected-Permissive To Flashing Yellow Arrow (Fya)</t>
  </si>
  <si>
    <t>CMF: 11338</t>
  </si>
  <si>
    <t>This CMF is for FYA Intersections Switching
From 24-Hour to TOD FYA Operation with Single Left-Turn Lanes. 
The category includes FYA intersections that first ran 24-hour FYA operation type, but were switched to running TOD FYA.</t>
  </si>
  <si>
    <t>Changing Left Turn Phasing From At Least One Permissive Approach To Flashing Yellow Arrow (Fya)</t>
  </si>
  <si>
    <t>CMF: 4175</t>
  </si>
  <si>
    <t>Valid AADT range tested: 8,260-43,000.</t>
  </si>
  <si>
    <t>Changing Left Turn Phasing On More Than One Approach From Permissive To Protected-Permissive</t>
  </si>
  <si>
    <t>CMF: 4170</t>
  </si>
  <si>
    <t>Install Left Turn Flashing Yellow Arrow Signals And Supplemental Traffic Signs</t>
  </si>
  <si>
    <t>CMF: 7730</t>
  </si>
  <si>
    <t>CMFs of left-turn related crashed on signalized intersections, including not interchange related and interchange related intersections. Applies to approaches with dedicated left turn lanes and PPLT phasing before and after.</t>
  </si>
  <si>
    <t>Valid AADT range tested: 3,250-37,500.</t>
  </si>
  <si>
    <t>Conversion Of Stop-Controlled Intersection Into Single-Lane Roundabout</t>
  </si>
  <si>
    <t>CMF: 211</t>
  </si>
  <si>
    <t>Convert Signalized Intersection To Modern Roundabout</t>
  </si>
  <si>
    <t>CMF: 226</t>
  </si>
  <si>
    <t>CMF: 4259</t>
  </si>
  <si>
    <t>Countermeasure name has been slightly modified for consistency across Clearinghouse</t>
  </si>
  <si>
    <t>Valid AADT range tested: 5,322-43,123.</t>
  </si>
  <si>
    <t>Conversion Of Stop-Controlled Intersection To Mini Roundabout</t>
  </si>
  <si>
    <t>CMF: 11524</t>
  </si>
  <si>
    <t>15-50</t>
  </si>
  <si>
    <t>25-49 sites / 250-499 crashes</t>
  </si>
  <si>
    <t>CMF is presented in Table 18 in the report.</t>
  </si>
  <si>
    <t>Valid AADT range tested: 643-15,138.</t>
  </si>
  <si>
    <t>Convert Intersection To Roundabout</t>
  </si>
  <si>
    <t>CMF: 9156</t>
  </si>
  <si>
    <t>K (fatal)</t>
  </si>
  <si>
    <t>&lt;50 or unknown sites / 250-499 crashes</t>
  </si>
  <si>
    <t>Meta-regression</t>
  </si>
  <si>
    <t>Includes single and double lane roundabouts</t>
  </si>
  <si>
    <t>Conversion Of Intersection Into High-Speed Roundabout</t>
  </si>
  <si>
    <t>CMF: 10435</t>
  </si>
  <si>
    <t>35-55</t>
  </si>
  <si>
    <t>Valid AADT range tested: 2,000-12,500.</t>
  </si>
  <si>
    <t>Conversion Of Signalized Intersection Into Single- Or Multi-Lane Roundabout</t>
  </si>
  <si>
    <t>CMF: 212</t>
  </si>
  <si>
    <t>CMF: 206</t>
  </si>
  <si>
    <t>Convert Minor-Road Stop Control To All-Way Stop Control</t>
  </si>
  <si>
    <t>CMF: 310</t>
  </si>
  <si>
    <t>Install An Intersection Conflict Warning System (ICWS) With Post Mounted Signs (Various Messages) And Flashers In Advance Of The Intersection On Major; Loop On Minor</t>
  </si>
  <si>
    <t>CMF: 8462</t>
  </si>
  <si>
    <t>CMF for 2-lane at 2-lane intersections</t>
  </si>
  <si>
    <t>Install Intersection Conflict Warning Systems (ICWS) For Two-Lane At Two-Lane Intersections</t>
  </si>
  <si>
    <t>CMF: 8439</t>
  </si>
  <si>
    <t>Install An Intersection Conflict Warning System (ICWS) With A Combination Of Overhead And Advanced Post Mounted Signs (Various Messages) And Flashers</t>
  </si>
  <si>
    <t>CMF: 8474</t>
  </si>
  <si>
    <t>Install Intersection Conflict Warning Systems (ICWS) For Four-Lane At Two-Lane Intersections</t>
  </si>
  <si>
    <t>CMF: 8454</t>
  </si>
  <si>
    <t>Install An Intersection Conflict Warning System (ICWS) With Overhead Signs (Various Messages) And Flashers At The Intersection On Major; Loop On Minor</t>
  </si>
  <si>
    <t>CMF: 8457</t>
  </si>
  <si>
    <t>Install An Intersection Conflict Warning System (ICWS) With Post Mounted Signs (Various Messages) And Flashers At The Intersection On Minor; Loop On Major</t>
  </si>
  <si>
    <t>CMF: 8471</t>
  </si>
  <si>
    <t>CMF for 4-lane at 2-lane intersections</t>
  </si>
  <si>
    <t>Implement Systemic Signing And Marking Improvements At Stop-Controlled Intersections</t>
  </si>
  <si>
    <t>CMF: 8867</t>
  </si>
  <si>
    <t>Valid AADT range tested: 641-41,731.</t>
  </si>
  <si>
    <t>Replace Standard Stop Sign With Flashing LED Stop Sign</t>
  </si>
  <si>
    <t>CMF: 6602</t>
  </si>
  <si>
    <t>The authors used a hierarchical Bayes before-after method. The number of crashes in the after period were not reported in this study, however, they have been recorded as 300 to give 10 points as a beneift of doubt for one or more of the following: (1) number of miles/sites in the reference/treatment group, (2) number of crashes in the references/treatment group, (3) reporting AADTs for the aggregate dataset but not for the disaggragate dataset used for CMF development.</t>
  </si>
  <si>
    <t>Provide Flashing Beacons At Stop Controlled Intersections</t>
  </si>
  <si>
    <t>CMF: 456</t>
  </si>
  <si>
    <t>&lt;25 or unknown sites /  crashes</t>
  </si>
  <si>
    <t>This CMF is for standard stop-mounted beacons. Countermeasure name changed from "flashing beacons at four leg stop controlled intersections on two lane roads; standard and actuated beacons" to match HSM</t>
  </si>
  <si>
    <t>Valid AADT range tested: 250-42,520.</t>
  </si>
  <si>
    <t>Implement Systemic Signing And Visibility Improvements At Signalized Intersections</t>
  </si>
  <si>
    <t>CMF: 8970</t>
  </si>
  <si>
    <t>CMF for right-angle crashes at 2 mainline lanes and 2 cross street lanes 4-legged intersections. The number of crashes in the after period were not reported in this study, however, they have been recorded as 300 to give 10 points as a beneift of doubt for one or more of the following: (1) number of miles/sites in the reference/treatment group, (2) number of crashes in the references/treatment group, (3) reporting AADTs for the aggregate dataset but not for the disaggragate dataset used for CMF development.</t>
  </si>
  <si>
    <t>Valid AADT range tested: 4,272-41,100.</t>
  </si>
  <si>
    <t>CMF: 8880</t>
  </si>
  <si>
    <t>Modify Change Plus Clearance Interval To Ite 1985 Proposed Recommended Practice</t>
  </si>
  <si>
    <t>CMF: 380</t>
  </si>
  <si>
    <t>bold star</t>
  </si>
  <si>
    <t>Countermeasure name changed from "retiming signal change intervals to ITE standards" to match HSM</t>
  </si>
  <si>
    <t>Increase All Red Clearance Interval</t>
  </si>
  <si>
    <t>CMF: 4211</t>
  </si>
  <si>
    <t>Assumed 2 crashes per site for both the before and after periods to estimate sample size.</t>
  </si>
  <si>
    <t>Valid AADT range tested: 5,950-31,600.</t>
  </si>
  <si>
    <t>Provide Highway Lighting</t>
  </si>
  <si>
    <t>CMF: 192</t>
  </si>
  <si>
    <t>Improve Street Lighting Illuminance And Uniformity</t>
  </si>
  <si>
    <t>CMF: 11027</t>
  </si>
  <si>
    <t>Case-control</t>
  </si>
  <si>
    <t>CMF of increasing the average lighting level from [0.5 fc, 1.0 fc] to &gt;1.0 fc</t>
  </si>
  <si>
    <t>Install Lighting</t>
  </si>
  <si>
    <t>CMF: 7784</t>
  </si>
  <si>
    <t>CMFs of adding lighting on urban 4-lane and 6-lane principal and minor arterials The number of crashes in the after period were not reported in this study, however, they have been recorded as 300 to give 10 points as a beneift of doubt for one or more of the following: (1) number of miles/sites in the reference/treatment group, (2) number of crashes in the references/treatment group, (3) reporting AADTs for the aggregate dataset but not for the disaggragate dataset used for CMF development.</t>
  </si>
  <si>
    <t>CMF: 2376</t>
  </si>
  <si>
    <t>25-55</t>
  </si>
  <si>
    <t>Valid AADT range tested: 420-15,200.</t>
  </si>
  <si>
    <t>Install High Friction Surface Treatment (Hfst)</t>
  </si>
  <si>
    <t>CMF: 10342</t>
  </si>
  <si>
    <t>Improve Pavement Friction (Increase Skid Resistance)</t>
  </si>
  <si>
    <t>CMF: 2259</t>
  </si>
  <si>
    <t>Valid AADT range tested: 3,475-65,850.</t>
  </si>
  <si>
    <t>Improve Pavement Friction (Chip Seal)</t>
  </si>
  <si>
    <t>CMF: 7302</t>
  </si>
  <si>
    <t>Run off road,Wet road</t>
  </si>
  <si>
    <t>Only: Run off road,Wet road</t>
  </si>
  <si>
    <t>Valid AADT range tested: 1,280-22,600.</t>
  </si>
  <si>
    <t>Improve Pavement Friction (OGFC-Open Graded Friction Course)</t>
  </si>
  <si>
    <t>CMF: 7469</t>
  </si>
  <si>
    <t>Valid AADT range tested: 14,961-158,656.</t>
  </si>
  <si>
    <t>Improve Pavement Friction (UTBWC-Ultra Thin Bonded Wearing Course)</t>
  </si>
  <si>
    <t>CMF: 7560</t>
  </si>
  <si>
    <t>Wet road</t>
  </si>
  <si>
    <t>Only: Wet road</t>
  </si>
  <si>
    <t>Valid AADT range tested: 2,508-50,811.</t>
  </si>
  <si>
    <t>Improve Pavement Friction (Microsurfacing)</t>
  </si>
  <si>
    <t>CMF: 7406</t>
  </si>
  <si>
    <t>Valid AADT range tested: 628-30,314.</t>
  </si>
  <si>
    <t>Improve Pavement Friction (Diamond Grinding)</t>
  </si>
  <si>
    <t>CMF: 7375</t>
  </si>
  <si>
    <t>Valid AADT range tested: 10,240-278,200.</t>
  </si>
  <si>
    <t>Improve Pavement Friction (Thin HMA-Hot Mix Asphalt)</t>
  </si>
  <si>
    <t>CMF: 7519</t>
  </si>
  <si>
    <t>Valid AADT range tested: 69-8,489.</t>
  </si>
  <si>
    <t>COUNTERMEASURES</t>
  </si>
  <si>
    <t>Speeding Related = Yes</t>
  </si>
  <si>
    <t>Too Fast for Conditions (3) is  NOT used</t>
  </si>
  <si>
    <t>Derived filter</t>
  </si>
  <si>
    <t>Non-Motorist Unit Type = Bicyclist (66) or Other Cyclist (67)
or First Harmful Event = Pedalcycle (25)
or Unit Type = Motorized Bike (40)</t>
  </si>
  <si>
    <t xml:space="preserve">Road Surface Condition = Wet (02), Ice/Frost (05), or Slush (04)
and ( Vehicle Action Prior to Impact = Negotiating a Curve (07)
      or Manner of Collision = Not a Collision with Motor Vehicle in Transport (00)
and First Harmful Event is not Pedestrian (26) or Pedalcycle (25)
and Most Harmful Event is not Animal-Deer (20) or Animal-Not Deer (21)
and Contributing Roadway Condition is not Obstruction in Roadway (11) or Debris (10)
</t>
  </si>
  <si>
    <t>Crash criteria</t>
  </si>
  <si>
    <t>Relation to Junction = Non-Junction (00)
and Alignment = Curve Left (02) or Curve Right (03)
      [or Vehicle Action Prior to Impact = Negotiating a Curve (07)]
and Manner of Collision = Not a Collision with Motor Vehicle in Transport (00)
and First Harmful Event is not Pedestrian (26) or Pedalcycle (25)
and Most Harmful Event is not Animal-Deer (20) or Animal-Not Deer (21)
and Contributing Roadway Condition is not Obstruction in Roadway (11) or Debris (10)</t>
  </si>
  <si>
    <t>Relation to Junction = Non-Junction (00)
and Number of Vehicles = 1
and Most Harmful Event = embankment, ditch, tree, pole, culvert or similar roadside object
and Manner of Collision = Not a Collision with Motor Vehicle in Transport (00)
and First Harmful Event is not Pedestrian (26) or Pedalcycle (25)
and Most Harmful Event is not Animal-Deer (20) or Animal-Not Deer (21)
and Contributing Roadway Condition is not Obstruction in Roadway (11) or Debris (10)</t>
  </si>
  <si>
    <t>Number of Vehicles = 1
and Manner of Collision = Not a Collision with Motor Vehicle in Transport (00)
and First Harmful Event is not Pedestrian (26) or Pedalcycle (25)
and Most Harmful Event is not Animal-Deer (20) or Animal-Not Deer (21)
and Contributing Roadway Condition is not Obstruction in Roadway (11) or Debris (10)</t>
  </si>
  <si>
    <t>Type of Intersection = T (01), Y (02), L (03), Four Leg (04), or Five Leg or More (05)
and Relation to Junction = Intersection or Related (05)
and Number of Vehicles &gt;= 2
and Manner of Collision = Angle (80) or Front To Rear (10)
optional : Vehicle Action Prior to Impact = Turning Right (11)</t>
  </si>
  <si>
    <t>Type of Intersection = T (01), Y (02), L (03), Four Leg (04), or Five Leg or More (05)
and Relation to Junction = Intersection or Related (05)
and Number of Vehicles &gt;= 2
and Manner of Collision = Angle (80), Front To Rear (10), or Front To Front (20)
optional: Vehicle Action Prior to Impact = Turning Left (10)</t>
  </si>
  <si>
    <t>Relation to Junction = Intersection or Related (05)
and Manner of Collision = Angle (80) or Front To Front (20)
optional: Vehicle Action Prior to Impact = Turning Left (10)</t>
  </si>
  <si>
    <t>TREATMENTS</t>
  </si>
  <si>
    <t>Use?</t>
  </si>
  <si>
    <t>AADT range not reported by the study</t>
  </si>
  <si>
    <t>CMF is for "target" crashes. Target crashes are defined as those that occur during non-peak periods. Peak periods (6AM - 9 AM and 4PM - 7PM); Non-peak periods (remaining 18 hrs for weekdays, 24 hrs for weekends and holidays).</t>
  </si>
  <si>
    <t>The number of crashes in the after period were not reported in this study</t>
  </si>
  <si>
    <t>The treatment group included both signalized and unsignalized intersections. The corresponding change in crashes in the comparison group was an 18 percent reduction in pedestrian-vehicle crashes.</t>
  </si>
  <si>
    <t>Combination of EB before-after and cross-sectional estimations.</t>
  </si>
  <si>
    <t xml:space="preserve">Methodology used was a combination of EB before-after and cross-sectional estimations. </t>
  </si>
  <si>
    <t>CMF calculation is for reduction in crash rate.
The sites used for the development of this CMF were largely located in smaller urban areas. The number of crashes in the after period were not reported in this study.</t>
  </si>
  <si>
    <t>CMF calculation is for reduction in crash frequency per mile.
The sites used for the development of this CMF were largely located in smaller urban areas. The number of crashes in the after period were not reported in this study.</t>
  </si>
  <si>
    <t>Small sample size</t>
  </si>
  <si>
    <t>Presence of advisory speed signs The number of crashes in the after period were not reported in this study</t>
  </si>
  <si>
    <t>Sample size is small.  Excludes intersection-related and animal-related crashes.</t>
  </si>
  <si>
    <t>The authors collected data on thru lanes and speed limits but did not provide those data in the report</t>
  </si>
  <si>
    <t xml:space="preserve">No </t>
  </si>
  <si>
    <t>This CMF applies to cross-median crashes for all median barrier types installed on four-lane freeways. The number of crashes in the after period were not reported in this study</t>
  </si>
  <si>
    <t>CMF applies to target crashes on segment with median width 26 to 50 feet.</t>
  </si>
  <si>
    <t>Countermeasure name changed to match HSM The number of crashes in the after period were not reported in this study,</t>
  </si>
  <si>
    <t>Treatments &amp; Countermeasures</t>
  </si>
  <si>
    <t>Summary</t>
  </si>
  <si>
    <t>Usable</t>
  </si>
  <si>
    <t>Excluded</t>
  </si>
  <si>
    <t>TREATMENT SELECTOR</t>
  </si>
  <si>
    <t>RECOMMENDED TREATMENTS</t>
  </si>
  <si>
    <t>What it covers</t>
  </si>
  <si>
    <t>Bicyclists excluded</t>
  </si>
  <si>
    <t xml:space="preserve">Intersection Related = Yes
+ signal, left turn, collision type </t>
  </si>
  <si>
    <t>Intersection Related = Yes
OR Relation to Junction = Driveway (03)</t>
  </si>
  <si>
    <t>Roadway Departure = Yes</t>
  </si>
  <si>
    <t>Lane Departure = Yes</t>
  </si>
  <si>
    <t xml:space="preserve">Pedestrian Related = Yes
and Intersection Related = No </t>
  </si>
  <si>
    <t>Pedestrian Related = Yes</t>
  </si>
  <si>
    <t>Pedestrian Related = Yes
and Intersection Related = Yes</t>
  </si>
  <si>
    <t>Vulnerable Road User Related = Yes</t>
  </si>
  <si>
    <t xml:space="preserve">Intersection Related = Yes
</t>
  </si>
  <si>
    <t>Intersection Related = Yes</t>
  </si>
  <si>
    <t xml:space="preserve">Intersection Related = Yes </t>
  </si>
  <si>
    <t xml:space="preserve">Intersection Related = Yes
 </t>
  </si>
  <si>
    <t xml:space="preserve">(no derived field) </t>
  </si>
  <si>
    <t xml:space="preserve">Roadway Departure = Yes
or Negotiating a Curve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</si>
</sst>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2" x14ac:knownFonts="1">
    <font>
      <sz val="10"/>
      <color rgb="FF000000"/>
      <name val="Arial"/>
      <charset val="1"/>
    </font>
    <font>
      <b/>
      <sz val="14"/>
      <color rgb="FFFBD567"/>
      <name val="Arial"/>
      <charset val="1"/>
    </font>
    <font>
      <sz val="9"/>
      <color rgb="FF555555"/>
      <name val="Arial"/>
      <charset val="1"/>
    </font>
    <font>
      <b/>
      <sz val="10"/>
      <color rgb="FFFBD567"/>
      <name val="Arial"/>
      <charset val="1"/>
    </font>
    <font>
      <b/>
      <sz val="9"/>
      <color rgb="FF222222"/>
      <name val="Arial"/>
      <charset val="1"/>
    </font>
    <font>
      <b/>
      <sz val="18"/>
      <color rgb="FF1F6F6B"/>
      <name val="Arial"/>
      <charset val="1"/>
    </font>
    <font>
      <b/>
      <sz val="10"/>
      <color rgb="FF222222"/>
      <name val="Arial"/>
      <charset val="1"/>
    </font>
    <font>
      <sz val="9"/>
      <color rgb="FF222222"/>
      <name val="Arial"/>
      <charset val="1"/>
    </font>
    <font>
      <i/>
      <sz val="8"/>
      <color rgb="FF777777"/>
      <name val="Arial"/>
      <charset val="1"/>
    </font>
    <font>
      <b/>
      <sz val="11"/>
      <color rgb="FFFFFFFF"/>
      <name val="Arial"/>
      <charset val="1"/>
    </font>
    <font>
      <b/>
      <sz val="12"/>
      <color rgb="FF0000FF"/>
      <name val="Arial"/>
      <charset val="1"/>
    </font>
    <font>
      <b/>
      <sz val="11"/>
      <color rgb="FFFBD567"/>
      <name val="Arial"/>
      <charset val="1"/>
    </font>
    <font>
      <b/>
      <sz val="9"/>
      <color rgb="FFFFFFFF"/>
      <name val="Arial"/>
      <charset val="1"/>
    </font>
    <font>
      <sz val="8"/>
      <color rgb="FFAAAAAA"/>
      <name val="Arial"/>
      <charset val="1"/>
    </font>
    <font>
      <b/>
      <sz val="8"/>
      <color rgb="FF999999"/>
      <name val="Arial"/>
      <charset val="1"/>
    </font>
    <font>
      <b/>
      <sz val="10"/>
      <color rgb="FFFFFFFF"/>
      <name val="Arial"/>
      <charset val="1"/>
    </font>
    <font>
      <b/>
      <sz val="8"/>
      <color rgb="FFFFFFFF"/>
      <name val="Arial"/>
      <charset val="1"/>
    </font>
    <font>
      <b/>
      <sz val="9"/>
      <color rgb="FF1F6F6B"/>
      <name val="Arial"/>
      <charset val="1"/>
    </font>
    <font>
      <b/>
      <sz val="16"/>
      <color rgb="FFFBD567"/>
      <name val="Arial"/>
      <charset val="1"/>
    </font>
    <font>
      <sz val="10"/>
      <color rgb="FF222222"/>
      <name val="Arial"/>
      <charset val="1"/>
    </font>
    <font>
      <sz val="9"/>
      <color rgb="FF777777"/>
      <name val="Arial"/>
      <charset val="1"/>
    </font>
    <font>
      <b/>
      <sz val="9"/>
      <color rgb="FF1F6F1F"/>
      <name val="Arial"/>
      <charset val="1"/>
    </font>
  </fonts>
  <fills count="26">
    <fill>
      <patternFill patternType="none"/>
    </fill>
    <fill>
      <patternFill patternType="gray125"/>
    </fill>
    <fill>
      <patternFill patternType="solid">
        <fgColor rgb="FF1A1A1A"/>
        <bgColor rgb="FF222222"/>
      </patternFill>
    </fill>
    <fill>
      <patternFill patternType="solid">
        <fgColor rgb="FFF2F7F6"/>
        <bgColor rgb="FFF7F7F7"/>
      </patternFill>
    </fill>
    <fill>
      <patternFill patternType="solid">
        <fgColor rgb="FFD9ECEA"/>
        <bgColor rgb="FFDCE6F1"/>
      </patternFill>
    </fill>
    <fill>
      <patternFill patternType="solid">
        <fgColor rgb="FF2E2E2E"/>
        <bgColor rgb="FF1B2A3A"/>
      </patternFill>
    </fill>
    <fill>
      <patternFill patternType="solid">
        <fgColor rgb="FFFFF4C2"/>
        <bgColor rgb="FFFDF3DF"/>
      </patternFill>
    </fill>
    <fill>
      <patternFill patternType="solid">
        <fgColor rgb="FFF7F9FA"/>
        <bgColor rgb="FFF7F7F7"/>
      </patternFill>
    </fill>
    <fill>
      <patternFill patternType="solid">
        <fgColor rgb="FF1F6F6B"/>
        <bgColor rgb="FF2E7D8F"/>
      </patternFill>
    </fill>
    <fill>
      <patternFill patternType="solid">
        <fgColor rgb="FFEFF7EE"/>
        <bgColor rgb="FFEDF4EF"/>
      </patternFill>
    </fill>
    <fill>
      <patternFill patternType="solid">
        <fgColor rgb="FFF7F7F7"/>
        <bgColor rgb="FFF7F9FA"/>
      </patternFill>
    </fill>
    <fill>
      <patternFill patternType="solid">
        <fgColor rgb="FF5B3E8E"/>
        <bgColor rgb="FF555555"/>
      </patternFill>
    </fill>
    <fill>
      <patternFill patternType="solid">
        <fgColor rgb="FFE6DFF2"/>
        <bgColor rgb="FFE6E2F3"/>
      </patternFill>
    </fill>
    <fill>
      <patternFill patternType="solid">
        <fgColor rgb="FFA1552B"/>
        <bgColor rgb="FFB05A00"/>
      </patternFill>
    </fill>
    <fill>
      <patternFill patternType="solid">
        <fgColor rgb="FFF3E2D8"/>
        <bgColor rgb="FFF4E4D7"/>
      </patternFill>
    </fill>
    <fill>
      <patternFill patternType="solid">
        <fgColor rgb="FFE2F0D9"/>
        <bgColor rgb="FFE7EBDA"/>
      </patternFill>
    </fill>
    <fill>
      <patternFill patternType="solid">
        <fgColor rgb="FF1F4E79"/>
        <bgColor rgb="FF1F6F6B"/>
      </patternFill>
    </fill>
    <fill>
      <patternFill patternType="solid">
        <fgColor rgb="FFDCE6F1"/>
        <bgColor rgb="FFDCE6F2"/>
      </patternFill>
    </fill>
    <fill>
      <patternFill patternType="solid">
        <fgColor rgb="FF6B7A1F"/>
        <bgColor rgb="FF777777"/>
      </patternFill>
    </fill>
    <fill>
      <patternFill patternType="solid">
        <fgColor rgb="FFECEFD6"/>
        <bgColor rgb="FFE7EBDA"/>
      </patternFill>
    </fill>
    <fill>
      <patternFill patternType="solid">
        <fgColor rgb="FFE8F5E9"/>
        <bgColor rgb="FFEDF4EF"/>
      </patternFill>
    </fill>
    <fill>
      <patternFill patternType="solid">
        <fgColor rgb="FFE6E2F3"/>
        <bgColor rgb="FFE6DFF2"/>
      </patternFill>
    </fill>
    <fill>
      <patternFill patternType="solid">
        <fgColor rgb="FFF4E4D7"/>
        <bgColor rgb="FFF3E2D8"/>
      </patternFill>
    </fill>
    <fill>
      <patternFill patternType="solid">
        <fgColor rgb="FFFDE9E9"/>
        <bgColor rgb="FFFBEDEB"/>
      </patternFill>
    </fill>
    <fill>
      <patternFill patternType="solid">
        <fgColor rgb="FFDCE6F2"/>
        <bgColor rgb="FFDCE6F1"/>
      </patternFill>
    </fill>
    <fill>
      <patternFill patternType="solid">
        <fgColor rgb="FFE7EBDA"/>
        <bgColor rgb="FFECEFD6"/>
      </patternFill>
    </fill>
  </fills>
  <borders count="3">
    <border>
      <left/>
      <right/>
      <top/>
      <bottom/>
      <diagonal/>
    </border>
    <border>
      <left style="thin">
        <color rgb="FFBBBBBB"/>
      </left>
      <right style="thin">
        <color rgb="FFBBBBBB"/>
      </right>
      <top style="thin">
        <color rgb="FFBBBBBB"/>
      </top>
      <bottom style="thin">
        <color rgb="FFBBBBBB"/>
      </bottom>
      <diagonal/>
    </border>
    <border>
      <left style="thin">
        <color rgb="FFD0D0D0"/>
      </left>
      <right style="thin">
        <color rgb="FFD0D0D0"/>
      </right>
      <top style="thin">
        <color rgb="FFD0D0D0"/>
      </top>
      <bottom style="thin">
        <color rgb="FFD0D0D0"/>
      </bottom>
      <diagonal/>
    </border>
  </borders>
  <cellStyleXfs count="1">
    <xf numFmtId="0" fontId="0" fillId="0" borderId="0"/>
  </cellStyleXfs>
  <cellXfs count="61">
    <xf numFmtId="0" fontId="0" fillId="0" borderId="0" xfId="0"/>
    <xf numFmtId="0" fontId="18" fillId="2" borderId="0" xfId="0" applyFont="1" applyFill="1" applyAlignment="1">
      <alignment horizontal="left" vertical="center"/>
    </xf>
    <xf numFmtId="0" fontId="5" fillId="3" borderId="0" xfId="0" applyFont="1" applyFill="1" applyAlignment="1">
      <alignment horizontal="center"/>
    </xf>
    <xf numFmtId="0" fontId="4" fillId="0" borderId="0" xfId="0" applyFont="1"/>
    <xf numFmtId="0" fontId="3" fillId="2" borderId="0" xfId="0" applyFont="1" applyFill="1"/>
    <xf numFmtId="0" fontId="2" fillId="0" borderId="0" xfId="0" applyFont="1" applyAlignment="1">
      <alignment vertical="center" wrapText="1"/>
    </xf>
    <xf numFmtId="0" fontId="1" fillId="2" borderId="0" xfId="0" applyFont="1" applyFill="1"/>
    <xf numFmtId="0" fontId="1" fillId="2" borderId="0" xfId="0" applyFont="1" applyFill="1"/>
    <xf numFmtId="0" fontId="7" fillId="0" borderId="0" xfId="0" applyFont="1" applyAlignment="1">
      <alignment vertical="center" wrapText="1"/>
    </xf>
    <xf numFmtId="0" fontId="7" fillId="0" borderId="0" xfId="0" applyFont="1" applyAlignment="1">
      <alignment vertical="top" wrapText="1"/>
    </xf>
    <xf numFmtId="0" fontId="8" fillId="0" borderId="0" xfId="0" applyFont="1"/>
    <xf numFmtId="0" fontId="0" fillId="2" borderId="0" xfId="0" applyFill="1"/>
    <xf numFmtId="0" fontId="2" fillId="0" borderId="0" xfId="0" applyFont="1"/>
    <xf numFmtId="0" fontId="9" fillId="5" borderId="0" xfId="0" applyFont="1" applyFill="1"/>
    <xf numFmtId="0" fontId="0" fillId="5" borderId="0" xfId="0" applyFill="1"/>
    <xf numFmtId="0" fontId="6" fillId="0" borderId="0" xfId="0" applyFont="1"/>
    <xf numFmtId="0" fontId="10" fillId="6" borderId="1" xfId="0" applyFont="1" applyFill="1" applyBorder="1" applyAlignment="1">
      <alignment horizontal="center"/>
    </xf>
    <xf numFmtId="0" fontId="11" fillId="2" borderId="0" xfId="0" applyFont="1" applyFill="1"/>
    <xf numFmtId="0" fontId="12" fillId="5" borderId="0" xfId="0" applyFont="1" applyFill="1" applyAlignment="1">
      <alignment horizontal="center" vertical="center" wrapText="1"/>
    </xf>
    <xf numFmtId="0" fontId="7" fillId="7" borderId="0" xfId="0" applyFont="1" applyFill="1" applyAlignment="1">
      <alignment vertical="center" wrapText="1"/>
    </xf>
    <xf numFmtId="0" fontId="7" fillId="7" borderId="0" xfId="0" applyFont="1" applyFill="1" applyAlignment="1">
      <alignment horizontal="center" vertical="center" wrapText="1"/>
    </xf>
    <xf numFmtId="0" fontId="7" fillId="0" borderId="0" xfId="0" applyFont="1" applyAlignment="1">
      <alignment horizontal="center" vertical="center" wrapText="1"/>
    </xf>
    <xf numFmtId="0" fontId="13" fillId="0" borderId="0" xfId="0" applyFont="1"/>
    <xf numFmtId="0" fontId="14" fillId="0" borderId="0" xfId="0" applyFont="1"/>
    <xf numFmtId="0" fontId="12" fillId="2" borderId="0" xfId="0" applyFont="1" applyFill="1" applyAlignment="1">
      <alignment horizontal="center" vertical="center" wrapText="1"/>
    </xf>
    <xf numFmtId="0" fontId="7" fillId="10" borderId="0" xfId="0" applyFont="1" applyFill="1" applyAlignment="1">
      <alignment vertical="top" wrapText="1"/>
    </xf>
    <xf numFmtId="0" fontId="15" fillId="2" borderId="2" xfId="0" applyFont="1" applyFill="1" applyBorder="1" applyAlignment="1">
      <alignment horizontal="center" vertical="center" wrapText="1"/>
    </xf>
    <xf numFmtId="0" fontId="6" fillId="4" borderId="2" xfId="0" applyFont="1" applyFill="1" applyBorder="1" applyAlignment="1">
      <alignment horizontal="left" vertical="top" wrapText="1"/>
    </xf>
    <xf numFmtId="0" fontId="19" fillId="4" borderId="2" xfId="0" applyFont="1" applyFill="1" applyBorder="1" applyAlignment="1">
      <alignment horizontal="left" vertical="top" wrapText="1"/>
    </xf>
    <xf numFmtId="0" fontId="19" fillId="0" borderId="2" xfId="0" applyFont="1" applyBorder="1" applyAlignment="1">
      <alignment horizontal="center" vertical="top" wrapText="1"/>
    </xf>
    <xf numFmtId="0" fontId="19" fillId="0" borderId="2" xfId="0" applyFont="1" applyBorder="1" applyAlignment="1">
      <alignment horizontal="left" vertical="top" wrapText="1"/>
    </xf>
    <xf numFmtId="0" fontId="20" fillId="0" borderId="2" xfId="0" applyFont="1" applyBorder="1" applyAlignment="1">
      <alignment horizontal="center" vertical="top" wrapText="1"/>
    </xf>
    <xf numFmtId="0" fontId="21" fillId="20" borderId="2" xfId="0" applyFont="1" applyFill="1" applyBorder="1" applyAlignment="1">
      <alignment horizontal="center" vertical="top" wrapText="1"/>
    </xf>
    <xf numFmtId="0" fontId="6" fillId="21" borderId="2" xfId="0" applyFont="1" applyFill="1" applyBorder="1" applyAlignment="1">
      <alignment horizontal="left" vertical="top" wrapText="1"/>
    </xf>
    <xf numFmtId="0" fontId="19" fillId="21" borderId="2" xfId="0" applyFont="1" applyFill="1" applyBorder="1" applyAlignment="1">
      <alignment horizontal="left" vertical="top" wrapText="1"/>
    </xf>
    <xf numFmtId="0" fontId="6" fillId="22" borderId="2" xfId="0" applyFont="1" applyFill="1" applyBorder="1" applyAlignment="1">
      <alignment horizontal="left" vertical="top" wrapText="1"/>
    </xf>
    <xf numFmtId="0" fontId="19" fillId="22" borderId="2" xfId="0" applyFont="1" applyFill="1" applyBorder="1" applyAlignment="1">
      <alignment horizontal="left" vertical="top" wrapText="1"/>
    </xf>
    <xf numFmtId="0" fontId="7" fillId="23" borderId="0" xfId="0" applyFont="1" applyFill="1" applyAlignment="1">
      <alignment vertical="top" wrapText="1"/>
    </xf>
    <xf numFmtId="0" fontId="6" fillId="24" borderId="2" xfId="0" applyFont="1" applyFill="1" applyBorder="1" applyAlignment="1">
      <alignment horizontal="left" vertical="top" wrapText="1"/>
    </xf>
    <xf numFmtId="0" fontId="19" fillId="24" borderId="2" xfId="0" applyFont="1" applyFill="1" applyBorder="1" applyAlignment="1">
      <alignment horizontal="left" vertical="top" wrapText="1"/>
    </xf>
    <xf numFmtId="0" fontId="6" fillId="25" borderId="2" xfId="0" applyFont="1" applyFill="1" applyBorder="1" applyAlignment="1">
      <alignment horizontal="left" vertical="top" wrapText="1"/>
    </xf>
    <xf numFmtId="0" fontId="19" fillId="25" borderId="2" xfId="0" applyFont="1" applyFill="1" applyBorder="1" applyAlignment="1">
      <alignment horizontal="left" vertical="top" wrapText="1"/>
    </xf>
    <xf numFmtId="0" fontId="0" fillId="0" borderId="0" xfId="0" applyAlignment="1">
      <alignment horizontal="center" vertical="center"/>
    </xf>
    <xf numFmtId="0" fontId="1" fillId="2" borderId="0" xfId="0" applyFont="1" applyFill="1" applyAlignment="1">
      <alignment horizontal="left" vertical="center"/>
    </xf>
    <xf numFmtId="0" fontId="12" fillId="2" borderId="0" xfId="0" applyFont="1" applyFill="1" applyAlignment="1">
      <alignment horizontal="left" vertical="center" wrapText="1"/>
    </xf>
    <xf numFmtId="0" fontId="16" fillId="8" borderId="0" xfId="0" applyFont="1" applyFill="1" applyAlignment="1">
      <alignment horizontal="left" vertical="center" wrapText="1"/>
    </xf>
    <xf numFmtId="0" fontId="16" fillId="11" borderId="0" xfId="0" applyFont="1" applyFill="1" applyAlignment="1">
      <alignment horizontal="left" vertical="center" wrapText="1"/>
    </xf>
    <xf numFmtId="0" fontId="16" fillId="13" borderId="0" xfId="0" applyFont="1" applyFill="1" applyAlignment="1">
      <alignment horizontal="left" vertical="center" wrapText="1"/>
    </xf>
    <xf numFmtId="0" fontId="16" fillId="16" borderId="0" xfId="0" applyFont="1" applyFill="1" applyAlignment="1">
      <alignment horizontal="left" vertical="center" wrapText="1"/>
    </xf>
    <xf numFmtId="0" fontId="16" fillId="18" borderId="0" xfId="0" applyFont="1" applyFill="1" applyAlignment="1">
      <alignment horizontal="left" vertical="center" wrapText="1"/>
    </xf>
    <xf numFmtId="0" fontId="0" fillId="0" borderId="0" xfId="0" applyAlignment="1">
      <alignment horizontal="left" vertical="center"/>
    </xf>
    <xf numFmtId="0" fontId="0" fillId="2" borderId="0" xfId="0" applyFill="1" applyAlignment="1">
      <alignment horizontal="center" vertical="center"/>
    </xf>
    <xf numFmtId="0" fontId="6" fillId="4" borderId="0" xfId="0" applyFont="1" applyFill="1" applyAlignment="1">
      <alignment horizontal="center" vertical="center" wrapText="1"/>
    </xf>
    <xf numFmtId="0" fontId="6" fillId="12" borderId="0" xfId="0" applyFont="1" applyFill="1" applyAlignment="1">
      <alignment horizontal="center" vertical="center" wrapText="1"/>
    </xf>
    <xf numFmtId="0" fontId="6" fillId="14" borderId="0" xfId="0" applyFont="1" applyFill="1" applyAlignment="1">
      <alignment horizontal="center" vertical="center" wrapText="1"/>
    </xf>
    <xf numFmtId="0" fontId="6" fillId="15" borderId="0" xfId="0" applyFont="1" applyFill="1" applyAlignment="1">
      <alignment horizontal="center" vertical="center" wrapText="1"/>
    </xf>
    <xf numFmtId="0" fontId="6" fillId="17" borderId="0" xfId="0" applyFont="1" applyFill="1" applyAlignment="1">
      <alignment horizontal="center" vertical="center" wrapText="1"/>
    </xf>
    <xf numFmtId="0" fontId="6" fillId="19" borderId="0" xfId="0" applyFont="1" applyFill="1" applyAlignment="1">
      <alignment horizontal="center" vertical="center" wrapText="1"/>
    </xf>
    <xf numFmtId="0" fontId="17" fillId="9" borderId="0" xfId="0" applyFont="1" applyFill="1" applyAlignment="1">
      <alignment horizontal="center" vertical="center" wrapText="1"/>
    </xf>
    <xf numFmtId="0" fontId="7" fillId="10" borderId="0" xfId="0" applyFont="1" applyFill="1" applyAlignment="1">
      <alignment horizontal="center" vertical="center" wrapText="1"/>
    </xf>
    <xf numFmtId="0" fontId="7" fillId="0"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colors>
    <indexedColors>
      <rgbColor rgb="FF000000"/>
      <rgbColor rgb="FFFFFFFF"/>
      <rgbColor rgb="FFC00000"/>
      <rgbColor rgb="FFF2F7F6"/>
      <rgbColor rgb="FF0000FF"/>
      <rgbColor rgb="FFECEFD6"/>
      <rgbColor rgb="FFFDE9E9"/>
      <rgbColor rgb="FFEDF4EF"/>
      <rgbColor rgb="FF800000"/>
      <rgbColor rgb="FF1E7A1E"/>
      <rgbColor rgb="FF000080"/>
      <rgbColor rgb="FF6B7A1F"/>
      <rgbColor rgb="FFFDF3E2"/>
      <rgbColor rgb="FF1F6F6B"/>
      <rgbColor rgb="FFBBBBBB"/>
      <rgbColor rgb="FF808080"/>
      <rgbColor rgb="FFAAAAAA"/>
      <rgbColor rgb="FFA1552B"/>
      <rgbColor rgb="FFFFF4C2"/>
      <rgbColor rgb="FFD9ECEA"/>
      <rgbColor rgb="FFF7F9FA"/>
      <rgbColor rgb="FFE6E2F3"/>
      <rgbColor rgb="FF0070C0"/>
      <rgbColor rgb="FFC9D6DC"/>
      <rgbColor rgb="FF000080"/>
      <rgbColor rgb="FFFBEDEB"/>
      <rgbColor rgb="FFE7EBDA"/>
      <rgbColor rgb="FFEEF2F4"/>
      <rgbColor rgb="FFF7F7F7"/>
      <rgbColor rgb="FF800000"/>
      <rgbColor rgb="FF1F6F1F"/>
      <rgbColor rgb="FF0000FF"/>
      <rgbColor rgb="FFEFF7EE"/>
      <rgbColor rgb="FFE8F5E9"/>
      <rgbColor rgb="FFE2F0D9"/>
      <rgbColor rgb="FFFDF3DF"/>
      <rgbColor rgb="FFD0D0D0"/>
      <rgbColor rgb="FFF3E2D8"/>
      <rgbColor rgb="FFE6DFF2"/>
      <rgbColor rgb="FFFBD567"/>
      <rgbColor rgb="FF1F4E79"/>
      <rgbColor rgb="FFDCE6F2"/>
      <rgbColor rgb="FFDCE6F1"/>
      <rgbColor rgb="FFF4E4D7"/>
      <rgbColor rgb="FFB07A0E"/>
      <rgbColor rgb="FFB05A00"/>
      <rgbColor rgb="FF777777"/>
      <rgbColor rgb="FF999999"/>
      <rgbColor rgb="FF1B2A3A"/>
      <rgbColor rgb="FF2E7D8F"/>
      <rgbColor rgb="FF1A1A1A"/>
      <rgbColor rgb="FF222222"/>
      <rgbColor rgb="FFC0392B"/>
      <rgbColor rgb="FF555555"/>
      <rgbColor rgb="FF5B3E8E"/>
      <rgbColor rgb="FF2E2E2E"/>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9"/>
  <sheetViews>
    <sheetView zoomScaleNormal="100" workbookViewId="0">
      <selection activeCell="A19" sqref="A19"/>
    </sheetView>
  </sheetViews>
  <sheetFormatPr defaultColWidth="8.6640625" defaultRowHeight="13.2" x14ac:dyDescent="0.25"/>
  <cols>
    <col min="1" max="1" width="30" customWidth="1"/>
    <col min="2" max="2" width="22" customWidth="1"/>
    <col min="3" max="6" width="18" customWidth="1"/>
  </cols>
  <sheetData>
    <row r="1" spans="1:6" ht="25.5" customHeight="1" x14ac:dyDescent="0.3">
      <c r="A1" s="6" t="s">
        <v>761</v>
      </c>
      <c r="B1" s="6"/>
      <c r="C1" s="6"/>
      <c r="D1" s="6"/>
      <c r="E1" s="6"/>
      <c r="F1" s="6"/>
    </row>
    <row r="2" spans="1:6" ht="30" customHeight="1" x14ac:dyDescent="0.25">
      <c r="A2" s="5"/>
      <c r="B2" s="5"/>
      <c r="C2" s="5"/>
      <c r="D2" s="5"/>
      <c r="E2" s="5"/>
      <c r="F2" s="5"/>
    </row>
    <row r="4" spans="1:6" x14ac:dyDescent="0.25">
      <c r="A4" s="4" t="s">
        <v>762</v>
      </c>
      <c r="B4" s="4"/>
      <c r="C4" s="4"/>
      <c r="D4" s="4"/>
      <c r="E4" s="4"/>
      <c r="F4" s="4"/>
    </row>
    <row r="5" spans="1:6" x14ac:dyDescent="0.25">
      <c r="A5" s="3" t="s">
        <v>0</v>
      </c>
      <c r="B5" s="3"/>
      <c r="C5" s="3" t="s">
        <v>3</v>
      </c>
      <c r="D5" s="3"/>
      <c r="E5" s="3" t="s">
        <v>763</v>
      </c>
      <c r="F5" s="3"/>
    </row>
    <row r="6" spans="1:6" ht="22.5" customHeight="1" x14ac:dyDescent="0.4">
      <c r="A6" s="2">
        <f>COUNTA(Countermeasures!B3:B32)</f>
        <v>30</v>
      </c>
      <c r="B6" s="2"/>
      <c r="C6" s="2">
        <f>COUNTA(Treatments!B3:B135)</f>
        <v>133</v>
      </c>
      <c r="D6" s="2"/>
      <c r="E6" s="2">
        <f>COUNTIF(Treatments!AD3:AD135,"Yes")</f>
        <v>128</v>
      </c>
      <c r="F6" s="2"/>
    </row>
    <row r="8" spans="1:6" x14ac:dyDescent="0.25">
      <c r="A8" s="3" t="s">
        <v>764</v>
      </c>
      <c r="B8" s="3"/>
      <c r="C8" s="3" t="s">
        <v>1</v>
      </c>
      <c r="D8" s="3"/>
      <c r="E8" s="3" t="s">
        <v>2</v>
      </c>
      <c r="F8" s="3"/>
    </row>
    <row r="9" spans="1:6" ht="22.5" customHeight="1" x14ac:dyDescent="0.4">
      <c r="A9" s="2">
        <f>COUNTIF(Treatments!AD3:AD135,"No*")</f>
        <v>5</v>
      </c>
      <c r="B9" s="2"/>
      <c r="C9" s="2">
        <f>COUNTIF(Treatments!N3:N135,"&gt;=4")</f>
        <v>112</v>
      </c>
      <c r="D9" s="2"/>
      <c r="E9" s="2" t="str">
        <f>TEXT(AVERAGE(Treatments!Q3:Q135)/100,"0.0%")</f>
        <v>41.6%</v>
      </c>
      <c r="F9" s="2"/>
    </row>
  </sheetData>
  <mergeCells count="15">
    <mergeCell ref="A9:B9"/>
    <mergeCell ref="C9:D9"/>
    <mergeCell ref="E9:F9"/>
    <mergeCell ref="A6:B6"/>
    <mergeCell ref="C6:D6"/>
    <mergeCell ref="E6:F6"/>
    <mergeCell ref="A8:B8"/>
    <mergeCell ref="C8:D8"/>
    <mergeCell ref="E8:F8"/>
    <mergeCell ref="A1:F1"/>
    <mergeCell ref="A2:F2"/>
    <mergeCell ref="A4:F4"/>
    <mergeCell ref="A5:B5"/>
    <mergeCell ref="C5:D5"/>
    <mergeCell ref="E5:F5"/>
  </mergeCells>
  <pageMargins left="0.75" right="0.75" top="1" bottom="1"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A167"/>
  <sheetViews>
    <sheetView topLeftCell="A17" zoomScaleNormal="100" workbookViewId="0">
      <selection activeCell="B169" sqref="B169"/>
    </sheetView>
  </sheetViews>
  <sheetFormatPr defaultColWidth="8.6640625" defaultRowHeight="13.2" x14ac:dyDescent="0.25"/>
  <cols>
    <col min="1" max="1" width="3" customWidth="1"/>
    <col min="2" max="2" width="24.109375" customWidth="1"/>
    <col min="3" max="3" width="34" customWidth="1"/>
    <col min="4" max="4" width="30" customWidth="1"/>
    <col min="5" max="5" width="13" customWidth="1"/>
    <col min="6" max="6" width="8" customWidth="1"/>
    <col min="7" max="7" width="7" customWidth="1"/>
    <col min="8" max="8" width="28" customWidth="1"/>
    <col min="9" max="11" width="0.33203125" customWidth="1"/>
    <col min="12" max="27" width="13" hidden="1" customWidth="1"/>
  </cols>
  <sheetData>
    <row r="1" spans="1:14" ht="25.5" customHeight="1" x14ac:dyDescent="0.3">
      <c r="A1" s="7" t="s">
        <v>765</v>
      </c>
      <c r="B1" s="11"/>
      <c r="C1" s="11"/>
      <c r="D1" s="11"/>
      <c r="E1" s="11"/>
      <c r="F1" s="11"/>
      <c r="G1" s="11"/>
      <c r="H1" s="11"/>
      <c r="I1" s="11"/>
      <c r="J1" s="11"/>
      <c r="K1" s="11"/>
    </row>
    <row r="2" spans="1:14" x14ac:dyDescent="0.25">
      <c r="B2" s="12"/>
    </row>
    <row r="3" spans="1:14" ht="13.5" customHeight="1" x14ac:dyDescent="0.25">
      <c r="B3" s="13" t="s">
        <v>4</v>
      </c>
      <c r="C3" s="14"/>
      <c r="D3" s="14"/>
      <c r="E3" s="14"/>
      <c r="F3" s="14"/>
      <c r="G3" s="14"/>
      <c r="H3" s="14"/>
      <c r="I3" s="14"/>
      <c r="J3" s="14"/>
      <c r="K3" s="14"/>
    </row>
    <row r="4" spans="1:14" ht="15" customHeight="1" x14ac:dyDescent="0.3">
      <c r="B4" s="15" t="s">
        <v>5</v>
      </c>
      <c r="C4" s="16" t="s">
        <v>6</v>
      </c>
    </row>
    <row r="5" spans="1:14" ht="15" customHeight="1" x14ac:dyDescent="0.3">
      <c r="B5" s="15" t="s">
        <v>7</v>
      </c>
      <c r="C5" s="16" t="s">
        <v>6</v>
      </c>
    </row>
    <row r="6" spans="1:14" ht="15" customHeight="1" x14ac:dyDescent="0.3">
      <c r="B6" s="15" t="s">
        <v>8</v>
      </c>
      <c r="C6" s="16" t="s">
        <v>6</v>
      </c>
    </row>
    <row r="7" spans="1:14" ht="15" customHeight="1" x14ac:dyDescent="0.3">
      <c r="B7" s="15" t="s">
        <v>9</v>
      </c>
      <c r="C7" s="16" t="s">
        <v>10</v>
      </c>
    </row>
    <row r="8" spans="1:14" ht="15" customHeight="1" x14ac:dyDescent="0.3">
      <c r="B8" s="15" t="s">
        <v>11</v>
      </c>
      <c r="C8" s="16"/>
    </row>
    <row r="9" spans="1:14" ht="15" customHeight="1" x14ac:dyDescent="0.3">
      <c r="B9" s="15" t="s">
        <v>12</v>
      </c>
      <c r="C9" s="16"/>
    </row>
    <row r="10" spans="1:14" ht="15" customHeight="1" x14ac:dyDescent="0.3">
      <c r="B10" s="15" t="s">
        <v>13</v>
      </c>
      <c r="C10" s="16"/>
    </row>
    <row r="11" spans="1:14" ht="15" customHeight="1" x14ac:dyDescent="0.3">
      <c r="B11" s="15" t="s">
        <v>14</v>
      </c>
      <c r="C11" s="16" t="s">
        <v>6</v>
      </c>
    </row>
    <row r="12" spans="1:14" ht="15" customHeight="1" x14ac:dyDescent="0.3">
      <c r="B12" s="15" t="s">
        <v>15</v>
      </c>
      <c r="C12" s="16" t="s">
        <v>6</v>
      </c>
      <c r="D12" s="10"/>
    </row>
    <row r="14" spans="1:14" ht="13.5" customHeight="1" x14ac:dyDescent="0.25">
      <c r="B14" s="17" t="s">
        <v>766</v>
      </c>
      <c r="C14" s="11"/>
      <c r="D14" s="11"/>
      <c r="E14" s="11"/>
      <c r="F14" s="11"/>
      <c r="G14" s="11"/>
      <c r="H14" s="11"/>
      <c r="I14" s="11"/>
      <c r="J14" s="11"/>
      <c r="K14" s="11"/>
    </row>
    <row r="15" spans="1:14" ht="27.75" customHeight="1" x14ac:dyDescent="0.25">
      <c r="B15" s="18" t="s">
        <v>16</v>
      </c>
      <c r="C15" s="18" t="s">
        <v>17</v>
      </c>
      <c r="D15" s="18" t="s">
        <v>18</v>
      </c>
      <c r="E15" s="18" t="s">
        <v>19</v>
      </c>
      <c r="F15" s="18" t="s">
        <v>20</v>
      </c>
      <c r="G15" s="18" t="s">
        <v>21</v>
      </c>
      <c r="H15" s="18" t="s">
        <v>767</v>
      </c>
      <c r="I15" s="18" t="s">
        <v>22</v>
      </c>
      <c r="J15" s="18" t="s">
        <v>23</v>
      </c>
      <c r="K15" s="18" t="s">
        <v>24</v>
      </c>
    </row>
    <row r="16" spans="1:14" ht="33.75" customHeight="1" x14ac:dyDescent="0.25">
      <c r="B16" s="19">
        <f>IF(AND(M16&gt;0,N16&gt;0),1,"")</f>
        <v>1</v>
      </c>
      <c r="C16" s="19" t="str">
        <f>IF(AND(M16&gt;0,N16&gt;0),INDEX($B$35:$B$167,N16),"")</f>
        <v>Install Median Barrier</v>
      </c>
      <c r="D16" s="19" t="str">
        <f>IF(AND(M16&gt;0,N16&gt;0),INDEX($C$35:$C$167,N16),"")</f>
        <v>CM: Median Barriers</v>
      </c>
      <c r="E16" s="20" t="str">
        <f>IF(AND(M16&gt;0,N16&gt;0),TEXT(INDEX($D$35:$D$167,N16)/100,"0.0%"),"")</f>
        <v>97.0%</v>
      </c>
      <c r="F16" s="20">
        <f>IF(AND(M16&gt;0,N16&gt;0),INDEX($E$35:$E$167,N16),"")</f>
        <v>0.03</v>
      </c>
      <c r="G16" s="20">
        <f>IF(AND(M16&gt;0,N16&gt;0),IF(INDEX($F$35:$F$167,N16)&lt;=0,"NR",INDEX($F$35:$F$167,N16)),"")</f>
        <v>3</v>
      </c>
      <c r="H16" s="19" t="str">
        <f t="shared" ref="H16:H30" si="0">IF(AND(M16&gt;0,N16&gt;0),INDEX($Z$35:$Z$167,N16),"")</f>
        <v>All crashes / Only: Cross median</v>
      </c>
      <c r="I16" s="19" t="e">
        <f t="shared" ref="I16:I30" si="1">IF(AND(M16&gt;0,N16&gt;0),INDEX($AA$35:$AA$167,N16),"")</f>
        <v>#REF!</v>
      </c>
      <c r="J16" s="20">
        <f t="shared" ref="J16:J30" si="2">IF(AND(M16&gt;0,N16&gt;0),INDEX($R$35:$R$167,N16),"")</f>
        <v>97</v>
      </c>
      <c r="K16" s="20" t="str">
        <f t="shared" ref="K16:K30" si="3">IF(AND(M16&gt;0,N16&gt;0),INDEX($T$35:$T$167,N16),"")</f>
        <v xml:space="preserve">Original </v>
      </c>
      <c r="M16">
        <f>LARGE($S$35:$S$167,1)</f>
        <v>9798.4470000000001</v>
      </c>
      <c r="N16">
        <f t="shared" ref="N16:N30" si="4">IFERROR(MATCH(M16,$S$35:$S$167,0),0)</f>
        <v>53</v>
      </c>
    </row>
    <row r="17" spans="2:14" ht="33.75" customHeight="1" x14ac:dyDescent="0.25">
      <c r="B17" s="8">
        <f>IF(AND(M17&gt;0,N17&gt;0),2,"")</f>
        <v>2</v>
      </c>
      <c r="C17" s="8" t="str">
        <f>IF(AND(M17&gt;0,N17&gt;0),INDEX($B$35:$B$167,N17),"")</f>
        <v>Install A Combination Of Chevron Signs, Curve Warning Signs, And/Or Sequential Flashing Beacons</v>
      </c>
      <c r="D17" s="8" t="str">
        <f>IF(AND(M17&gt;0,N17&gt;0),INDEX($C$35:$C$167,N17),"")</f>
        <v>CM: Enhanced Delineation for Horizontal Curves</v>
      </c>
      <c r="E17" s="21" t="str">
        <f>IF(AND(M17&gt;0,N17&gt;0),TEXT(INDEX($D$35:$D$167,N17)/100,"0.0%"),"")</f>
        <v>79.0%</v>
      </c>
      <c r="F17" s="21">
        <f>IF(AND(M17&gt;0,N17&gt;0),INDEX($E$35:$E$167,N17),"")</f>
        <v>0.21</v>
      </c>
      <c r="G17" s="21">
        <f>IF(AND(M17&gt;0,N17&gt;0),IF(INDEX($F$35:$F$167,N17)&lt;=0,"NR",INDEX($F$35:$F$167,N17)),"")</f>
        <v>4</v>
      </c>
      <c r="H17" s="8" t="str">
        <f t="shared" si="0"/>
        <v>All crashes / Only: Nighttime</v>
      </c>
      <c r="I17" s="8" t="e">
        <f t="shared" si="1"/>
        <v>#REF!</v>
      </c>
      <c r="J17" s="21">
        <f t="shared" si="2"/>
        <v>97</v>
      </c>
      <c r="K17" s="21" t="str">
        <f t="shared" si="3"/>
        <v xml:space="preserve">Added  </v>
      </c>
      <c r="M17">
        <f>LARGE($S$35:$S$167,2)</f>
        <v>9780.9580000000005</v>
      </c>
      <c r="N17">
        <f t="shared" si="4"/>
        <v>42</v>
      </c>
    </row>
    <row r="18" spans="2:14" ht="22.5" customHeight="1" x14ac:dyDescent="0.25">
      <c r="B18" s="19">
        <f>IF(AND(M18&gt;0,N18&gt;0),3,"")</f>
        <v>3</v>
      </c>
      <c r="C18" s="19" t="str">
        <f>IF(AND(M18&gt;0,N18&gt;0),INDEX($B$35:$B$167,N18),"")</f>
        <v>Improve Pavement Friction (Chip Seal)</v>
      </c>
      <c r="D18" s="19" t="str">
        <f>IF(AND(M18&gt;0,N18&gt;0),INDEX($C$35:$C$167,N18),"")</f>
        <v>CM: Pavement Friction Management</v>
      </c>
      <c r="E18" s="20" t="str">
        <f>IF(AND(M18&gt;0,N18&gt;0),TEXT(INDEX($D$35:$D$167,N18)/100,"0.0%"),"")</f>
        <v>77.8%</v>
      </c>
      <c r="F18" s="20">
        <f>IF(AND(M18&gt;0,N18&gt;0),INDEX($E$35:$E$167,N18),"")</f>
        <v>0.222</v>
      </c>
      <c r="G18" s="20">
        <f>IF(AND(M18&gt;0,N18&gt;0),IF(INDEX($F$35:$F$167,N18)&lt;=0,"NR",INDEX($F$35:$F$167,N18)),"")</f>
        <v>4</v>
      </c>
      <c r="H18" s="19" t="str">
        <f t="shared" si="0"/>
        <v>All crashes / Only: Run off road,Wet road</v>
      </c>
      <c r="I18" s="19" t="e">
        <f t="shared" si="1"/>
        <v>#REF!</v>
      </c>
      <c r="J18" s="20">
        <f t="shared" si="2"/>
        <v>97</v>
      </c>
      <c r="K18" s="20" t="str">
        <f t="shared" si="3"/>
        <v xml:space="preserve">Added  </v>
      </c>
      <c r="M18">
        <f>LARGE($S$35:$S$167,3)</f>
        <v>9779.6719999999987</v>
      </c>
      <c r="N18">
        <f t="shared" si="4"/>
        <v>128</v>
      </c>
    </row>
    <row r="19" spans="2:14" ht="22.5" customHeight="1" x14ac:dyDescent="0.25">
      <c r="B19" s="8">
        <f>IF(AND(M19&gt;0,N19&gt;0),4,"")</f>
        <v>4</v>
      </c>
      <c r="C19" s="8" t="str">
        <f>IF(AND(M19&gt;0,N19&gt;0),INDEX($B$35:$B$167,N19),"")</f>
        <v>Install Chevron Signs, Curve Warning Signs, And Sequential Flashing Beacons</v>
      </c>
      <c r="D19" s="8" t="str">
        <f>IF(AND(M19&gt;0,N19&gt;0),INDEX($C$35:$C$167,N19),"")</f>
        <v>CM: Enhanced Delineation for Horizontal Curves</v>
      </c>
      <c r="E19" s="21" t="str">
        <f>IF(AND(M19&gt;0,N19&gt;0),TEXT(INDEX($D$35:$D$167,N19)/100,"0.0%"),"")</f>
        <v>76.9%</v>
      </c>
      <c r="F19" s="21">
        <f>IF(AND(M19&gt;0,N19&gt;0),INDEX($E$35:$E$167,N19),"")</f>
        <v>0.23100000000000001</v>
      </c>
      <c r="G19" s="21">
        <f>IF(AND(M19&gt;0,N19&gt;0),IF(INDEX($F$35:$F$167,N19)&lt;=0,"NR",INDEX($F$35:$F$167,N19)),"")</f>
        <v>4</v>
      </c>
      <c r="H19" s="8" t="str">
        <f t="shared" si="0"/>
        <v>All crashes / Only: Nighttime</v>
      </c>
      <c r="I19" s="8" t="e">
        <f t="shared" si="1"/>
        <v>#REF!</v>
      </c>
      <c r="J19" s="21">
        <f t="shared" si="2"/>
        <v>97</v>
      </c>
      <c r="K19" s="21" t="str">
        <f t="shared" si="3"/>
        <v xml:space="preserve">Added  </v>
      </c>
      <c r="M19">
        <f>LARGE($S$35:$S$167,4)</f>
        <v>9778.857</v>
      </c>
      <c r="N19">
        <f t="shared" si="4"/>
        <v>43</v>
      </c>
    </row>
    <row r="20" spans="2:14" ht="22.5" customHeight="1" x14ac:dyDescent="0.25">
      <c r="B20" s="19">
        <f>IF(AND(M20&gt;0,N20&gt;0),5,"")</f>
        <v>5</v>
      </c>
      <c r="C20" s="19" t="str">
        <f>IF(AND(M20&gt;0,N20&gt;0),INDEX($B$35:$B$167,N20),"")</f>
        <v>Improve Pavement Friction (OGFC-Open Graded Friction Course)</v>
      </c>
      <c r="D20" s="19" t="str">
        <f>IF(AND(M20&gt;0,N20&gt;0),INDEX($C$35:$C$167,N20),"")</f>
        <v>CM: Pavement Friction Management</v>
      </c>
      <c r="E20" s="20" t="str">
        <f>IF(AND(M20&gt;0,N20&gt;0),TEXT(INDEX($D$35:$D$167,N20)/100,"0.0%"),"")</f>
        <v>69.4%</v>
      </c>
      <c r="F20" s="20">
        <f>IF(AND(M20&gt;0,N20&gt;0),INDEX($E$35:$E$167,N20),"")</f>
        <v>0.30599999999999999</v>
      </c>
      <c r="G20" s="20">
        <f>IF(AND(M20&gt;0,N20&gt;0),IF(INDEX($F$35:$F$167,N20)&lt;=0,"NR",INDEX($F$35:$F$167,N20)),"")</f>
        <v>4</v>
      </c>
      <c r="H20" s="19" t="str">
        <f t="shared" si="0"/>
        <v>All crashes / Only: Run off road,Wet road</v>
      </c>
      <c r="I20" s="19" t="e">
        <f t="shared" si="1"/>
        <v>#REF!</v>
      </c>
      <c r="J20" s="20">
        <f t="shared" si="2"/>
        <v>97</v>
      </c>
      <c r="K20" s="20" t="str">
        <f t="shared" si="3"/>
        <v xml:space="preserve">Added  </v>
      </c>
      <c r="M20">
        <f>LARGE($S$35:$S$167,5)</f>
        <v>9771.2709999999988</v>
      </c>
      <c r="N20">
        <f t="shared" si="4"/>
        <v>129</v>
      </c>
    </row>
    <row r="21" spans="2:14" ht="22.5" customHeight="1" x14ac:dyDescent="0.25">
      <c r="B21" s="8">
        <f>IF(AND(M21&gt;0,N21&gt;0),6,"")</f>
        <v>6</v>
      </c>
      <c r="C21" s="8" t="str">
        <f>IF(AND(M21&gt;0,N21&gt;0),INDEX($B$35:$B$167,N21),"")</f>
        <v>Improve Pavement Friction (UTBWC-Ultra Thin Bonded Wearing Course)</v>
      </c>
      <c r="D21" s="8" t="str">
        <f>IF(AND(M21&gt;0,N21&gt;0),INDEX($C$35:$C$167,N21),"")</f>
        <v>CM: Pavement Friction Management</v>
      </c>
      <c r="E21" s="21" t="str">
        <f>IF(AND(M21&gt;0,N21&gt;0),TEXT(INDEX($D$35:$D$167,N21)/100,"0.0%"),"")</f>
        <v>67.0%</v>
      </c>
      <c r="F21" s="21">
        <f>IF(AND(M21&gt;0,N21&gt;0),INDEX($E$35:$E$167,N21),"")</f>
        <v>0.33</v>
      </c>
      <c r="G21" s="21">
        <f>IF(AND(M21&gt;0,N21&gt;0),IF(INDEX($F$35:$F$167,N21)&lt;=0,"NR",INDEX($F$35:$F$167,N21)),"")</f>
        <v>4</v>
      </c>
      <c r="H21" s="8" t="str">
        <f t="shared" si="0"/>
        <v>All crashes / Only: Wet road</v>
      </c>
      <c r="I21" s="8" t="e">
        <f t="shared" si="1"/>
        <v>#REF!</v>
      </c>
      <c r="J21" s="21">
        <f t="shared" si="2"/>
        <v>97</v>
      </c>
      <c r="K21" s="21" t="str">
        <f t="shared" si="3"/>
        <v xml:space="preserve">Added  </v>
      </c>
      <c r="M21">
        <f>LARGE($S$35:$S$167,6)</f>
        <v>9768.8700000000008</v>
      </c>
      <c r="N21">
        <f t="shared" si="4"/>
        <v>130</v>
      </c>
    </row>
    <row r="22" spans="2:14" x14ac:dyDescent="0.25">
      <c r="B22" s="19">
        <f>IF(AND(M22&gt;0,N22&gt;0),7,"")</f>
        <v>7</v>
      </c>
      <c r="C22" s="19" t="str">
        <f>IF(AND(M22&gt;0,N22&gt;0),INDEX($B$35:$B$167,N22),"")</f>
        <v>Install High Friction Surface Treatment (Hfst)</v>
      </c>
      <c r="D22" s="19" t="str">
        <f>IF(AND(M22&gt;0,N22&gt;0),INDEX($C$35:$C$167,N22),"")</f>
        <v>CM: Pavement Friction Management</v>
      </c>
      <c r="E22" s="20" t="str">
        <f>IF(AND(M22&gt;0,N22&gt;0),TEXT(INDEX($D$35:$D$167,N22)/100,"0.0%"),"")</f>
        <v>63.5%</v>
      </c>
      <c r="F22" s="20">
        <f>IF(AND(M22&gt;0,N22&gt;0),INDEX($E$35:$E$167,N22),"")</f>
        <v>0.36499999999999999</v>
      </c>
      <c r="G22" s="20">
        <f>IF(AND(M22&gt;0,N22&gt;0),IF(INDEX($F$35:$F$167,N22)&lt;=0,"NR",INDEX($F$35:$F$167,N22)),"")</f>
        <v>4</v>
      </c>
      <c r="H22" s="19" t="str">
        <f t="shared" si="0"/>
        <v>Fatal &amp; injury only / All crash types</v>
      </c>
      <c r="I22" s="19" t="e">
        <f t="shared" si="1"/>
        <v>#REF!</v>
      </c>
      <c r="J22" s="20">
        <f t="shared" si="2"/>
        <v>97</v>
      </c>
      <c r="K22" s="20" t="str">
        <f t="shared" si="3"/>
        <v xml:space="preserve">Original </v>
      </c>
      <c r="M22">
        <f>LARGE($S$35:$S$167,7)</f>
        <v>9765.3739999999998</v>
      </c>
      <c r="N22">
        <f t="shared" si="4"/>
        <v>126</v>
      </c>
    </row>
    <row r="23" spans="2:14" ht="22.5" customHeight="1" x14ac:dyDescent="0.25">
      <c r="B23" s="8">
        <f>IF(AND(M23&gt;0,N23&gt;0),8,"")</f>
        <v>8</v>
      </c>
      <c r="C23" s="8" t="str">
        <f>IF(AND(M23&gt;0,N23&gt;0),INDEX($B$35:$B$167,N23),"")</f>
        <v>Install Sinusoidal Rumble Strip</v>
      </c>
      <c r="D23" s="8" t="str">
        <f>IF(AND(M23&gt;0,N23&gt;0),INDEX($C$35:$C$167,N23),"")</f>
        <v>CM: Centerline Rumble Strips (Two-Lane Roads)</v>
      </c>
      <c r="E23" s="21" t="str">
        <f>IF(AND(M23&gt;0,N23&gt;0),TEXT(INDEX($D$35:$D$167,N23)/100,"0.0%"),"")</f>
        <v>57.0%</v>
      </c>
      <c r="F23" s="21">
        <f>IF(AND(M23&gt;0,N23&gt;0),INDEX($E$35:$E$167,N23),"")</f>
        <v>0.43</v>
      </c>
      <c r="G23" s="21">
        <f>IF(AND(M23&gt;0,N23&gt;0),IF(INDEX($F$35:$F$167,N23)&lt;=0,"NR",INDEX($F$35:$F$167,N23)),"")</f>
        <v>5</v>
      </c>
      <c r="H23" s="8" t="str">
        <f t="shared" si="0"/>
        <v>All crashes / Only: Other</v>
      </c>
      <c r="I23" s="8" t="e">
        <f t="shared" si="1"/>
        <v>#REF!</v>
      </c>
      <c r="J23" s="21">
        <f t="shared" si="2"/>
        <v>97</v>
      </c>
      <c r="K23" s="21" t="str">
        <f t="shared" si="3"/>
        <v xml:space="preserve">Added  </v>
      </c>
      <c r="M23">
        <f>LARGE($S$35:$S$167,8)</f>
        <v>9759.4529999999995</v>
      </c>
      <c r="N23">
        <f t="shared" si="4"/>
        <v>47</v>
      </c>
    </row>
    <row r="24" spans="2:14" x14ac:dyDescent="0.25">
      <c r="B24" s="19">
        <f>IF(AND(M24&gt;0,N24&gt;0),9,"")</f>
        <v>9</v>
      </c>
      <c r="C24" s="19" t="str">
        <f>IF(AND(M24&gt;0,N24&gt;0),INDEX($B$35:$B$167,N24),"")</f>
        <v>Improve Pavement Friction (Microsurfacing)</v>
      </c>
      <c r="D24" s="19" t="str">
        <f>IF(AND(M24&gt;0,N24&gt;0),INDEX($C$35:$C$167,N24),"")</f>
        <v>CM: Pavement Friction Management</v>
      </c>
      <c r="E24" s="20" t="str">
        <f>IF(AND(M24&gt;0,N24&gt;0),TEXT(INDEX($D$35:$D$167,N24)/100,"0.0%"),"")</f>
        <v>56.0%</v>
      </c>
      <c r="F24" s="20">
        <f>IF(AND(M24&gt;0,N24&gt;0),INDEX($E$35:$E$167,N24),"")</f>
        <v>0.44</v>
      </c>
      <c r="G24" s="20">
        <f>IF(AND(M24&gt;0,N24&gt;0),IF(INDEX($F$35:$F$167,N24)&lt;=0,"NR",INDEX($F$35:$F$167,N24)),"")</f>
        <v>4</v>
      </c>
      <c r="H24" s="19" t="str">
        <f t="shared" si="0"/>
        <v>All crashes / Only: Run off road</v>
      </c>
      <c r="I24" s="19" t="e">
        <f t="shared" si="1"/>
        <v>#REF!</v>
      </c>
      <c r="J24" s="20">
        <f t="shared" si="2"/>
        <v>97</v>
      </c>
      <c r="K24" s="20" t="str">
        <f t="shared" si="3"/>
        <v xml:space="preserve">Added  </v>
      </c>
      <c r="M24">
        <f>LARGE($S$35:$S$167,9)</f>
        <v>9757.8690000000006</v>
      </c>
      <c r="N24">
        <f t="shared" si="4"/>
        <v>131</v>
      </c>
    </row>
    <row r="25" spans="2:14" x14ac:dyDescent="0.25">
      <c r="B25" s="8">
        <f>IF(AND(M25&gt;0,N25&gt;0),10,"")</f>
        <v>10</v>
      </c>
      <c r="C25" s="8" t="str">
        <f>IF(AND(M25&gt;0,N25&gt;0),INDEX($B$35:$B$167,N25),"")</f>
        <v>Install Cable Median Barrier (High Tension)</v>
      </c>
      <c r="D25" s="8" t="str">
        <f>IF(AND(M25&gt;0,N25&gt;0),INDEX($C$35:$C$167,N25),"")</f>
        <v>CM: Median Barriers</v>
      </c>
      <c r="E25" s="21" t="str">
        <f>IF(AND(M25&gt;0,N25&gt;0),TEXT(INDEX($D$35:$D$167,N25)/100,"0.0%"),"")</f>
        <v>53.0%</v>
      </c>
      <c r="F25" s="21">
        <f>IF(AND(M25&gt;0,N25&gt;0),INDEX($E$35:$E$167,N25),"")</f>
        <v>0.47</v>
      </c>
      <c r="G25" s="21">
        <f>IF(AND(M25&gt;0,N25&gt;0),IF(INDEX($F$35:$F$167,N25)&lt;=0,"NR",INDEX($F$35:$F$167,N25)),"")</f>
        <v>4</v>
      </c>
      <c r="H25" s="8" t="str">
        <f t="shared" si="0"/>
        <v>Fatal &amp; injury only / Only: Other</v>
      </c>
      <c r="I25" s="8" t="e">
        <f t="shared" si="1"/>
        <v>#REF!</v>
      </c>
      <c r="J25" s="21">
        <f t="shared" si="2"/>
        <v>97</v>
      </c>
      <c r="K25" s="21" t="str">
        <f t="shared" si="3"/>
        <v xml:space="preserve">Added  </v>
      </c>
      <c r="M25">
        <f>LARGE($S$35:$S$167,10)</f>
        <v>9754.9459999999999</v>
      </c>
      <c r="N25">
        <f t="shared" si="4"/>
        <v>54</v>
      </c>
    </row>
    <row r="26" spans="2:14" ht="22.5" customHeight="1" x14ac:dyDescent="0.25">
      <c r="B26" s="19">
        <f>IF(AND(M26&gt;0,N26&gt;0),11,"")</f>
        <v>11</v>
      </c>
      <c r="C26" s="19" t="str">
        <f>IF(AND(M26&gt;0,N26&gt;0),INDEX($B$35:$B$167,N26),"")</f>
        <v>Improve Pavement Friction (Diamond Grinding)</v>
      </c>
      <c r="D26" s="19" t="str">
        <f>IF(AND(M26&gt;0,N26&gt;0),INDEX($C$35:$C$167,N26),"")</f>
        <v>CM: Pavement Friction Management</v>
      </c>
      <c r="E26" s="20" t="str">
        <f>IF(AND(M26&gt;0,N26&gt;0),TEXT(INDEX($D$35:$D$167,N26)/100,"0.0%"),"")</f>
        <v>52.0%</v>
      </c>
      <c r="F26" s="20">
        <f>IF(AND(M26&gt;0,N26&gt;0),INDEX($E$35:$E$167,N26),"")</f>
        <v>0.48</v>
      </c>
      <c r="G26" s="20">
        <f>IF(AND(M26&gt;0,N26&gt;0),IF(INDEX($F$35:$F$167,N26)&lt;=0,"NR",INDEX($F$35:$F$167,N26)),"")</f>
        <v>4</v>
      </c>
      <c r="H26" s="19" t="str">
        <f t="shared" si="0"/>
        <v>All crashes / Only: Wet road</v>
      </c>
      <c r="I26" s="19" t="e">
        <f t="shared" si="1"/>
        <v>#REF!</v>
      </c>
      <c r="J26" s="20">
        <f t="shared" si="2"/>
        <v>97</v>
      </c>
      <c r="K26" s="20" t="str">
        <f t="shared" si="3"/>
        <v xml:space="preserve">Added  </v>
      </c>
      <c r="M26">
        <f>LARGE($S$35:$S$167,11)</f>
        <v>9753.8680000000004</v>
      </c>
      <c r="N26">
        <f t="shared" si="4"/>
        <v>132</v>
      </c>
    </row>
    <row r="27" spans="2:14" ht="22.5" customHeight="1" x14ac:dyDescent="0.25">
      <c r="B27" s="8">
        <f>IF(AND(M27&gt;0,N27&gt;0),12,"")</f>
        <v>12</v>
      </c>
      <c r="C27" s="8" t="str">
        <f>IF(AND(M27&gt;0,N27&gt;0),INDEX($B$35:$B$167,N27),"")</f>
        <v>Install Centerline Rumble Strips</v>
      </c>
      <c r="D27" s="8" t="str">
        <f>IF(AND(M27&gt;0,N27&gt;0),INDEX($C$35:$C$167,N27),"")</f>
        <v>CM: Centerline Rumble Strips (Two-Lane Roads)</v>
      </c>
      <c r="E27" s="21" t="str">
        <f>IF(AND(M27&gt;0,N27&gt;0),TEXT(INDEX($D$35:$D$167,N27)/100,"0.0%"),"")</f>
        <v>49.0%</v>
      </c>
      <c r="F27" s="21">
        <f>IF(AND(M27&gt;0,N27&gt;0),INDEX($E$35:$E$167,N27),"")</f>
        <v>0.51</v>
      </c>
      <c r="G27" s="21">
        <f>IF(AND(M27&gt;0,N27&gt;0),IF(INDEX($F$35:$F$167,N27)&lt;=0,"NR",INDEX($F$35:$F$167,N27)),"")</f>
        <v>5</v>
      </c>
      <c r="H27" s="8" t="str">
        <f t="shared" si="0"/>
        <v>All crashes / Only: Head on,Sideswipe</v>
      </c>
      <c r="I27" s="8" t="e">
        <f t="shared" si="1"/>
        <v>#REF!</v>
      </c>
      <c r="J27" s="21">
        <f t="shared" si="2"/>
        <v>97</v>
      </c>
      <c r="K27" s="21" t="str">
        <f t="shared" si="3"/>
        <v xml:space="preserve">Added  </v>
      </c>
      <c r="M27">
        <f>LARGE($S$35:$S$167,12)</f>
        <v>9751.4519999999993</v>
      </c>
      <c r="N27">
        <f t="shared" si="4"/>
        <v>48</v>
      </c>
    </row>
    <row r="28" spans="2:14" ht="22.5" customHeight="1" x14ac:dyDescent="0.25">
      <c r="B28" s="19">
        <f>IF(AND(M28&gt;0,N28&gt;0),13,"")</f>
        <v>13</v>
      </c>
      <c r="C28" s="19" t="str">
        <f>IF(AND(M28&gt;0,N28&gt;0),INDEX($B$35:$B$167,N28),"")</f>
        <v>Install Centerline Rumble Strips On Tangent Sections</v>
      </c>
      <c r="D28" s="19" t="str">
        <f>IF(AND(M28&gt;0,N28&gt;0),INDEX($C$35:$C$167,N28),"")</f>
        <v>CM: Centerline Rumble Strips (Two-Lane Roads)</v>
      </c>
      <c r="E28" s="20" t="str">
        <f>IF(AND(M28&gt;0,N28&gt;0),TEXT(INDEX($D$35:$D$167,N28)/100,"0.0%"),"")</f>
        <v>49.0%</v>
      </c>
      <c r="F28" s="20">
        <f>IF(AND(M28&gt;0,N28&gt;0),INDEX($E$35:$E$167,N28),"")</f>
        <v>0.51</v>
      </c>
      <c r="G28" s="20">
        <f>IF(AND(M28&gt;0,N28&gt;0),IF(INDEX($F$35:$F$167,N28)&lt;=0,"NR",INDEX($F$35:$F$167,N28)),"")</f>
        <v>5</v>
      </c>
      <c r="H28" s="19" t="str">
        <f t="shared" si="0"/>
        <v>All crashes / Only: Head on,Sideswipe</v>
      </c>
      <c r="I28" s="19" t="e">
        <f t="shared" si="1"/>
        <v>#REF!</v>
      </c>
      <c r="J28" s="20">
        <f t="shared" si="2"/>
        <v>97</v>
      </c>
      <c r="K28" s="20" t="str">
        <f t="shared" si="3"/>
        <v xml:space="preserve">Added  </v>
      </c>
      <c r="M28">
        <f>LARGE($S$35:$S$167,13)</f>
        <v>9751.4509999999991</v>
      </c>
      <c r="N28">
        <f t="shared" si="4"/>
        <v>49</v>
      </c>
    </row>
    <row r="29" spans="2:14" ht="22.5" customHeight="1" x14ac:dyDescent="0.25">
      <c r="B29" s="8">
        <f>IF(AND(M29&gt;0,N29&gt;0),14,"")</f>
        <v>14</v>
      </c>
      <c r="C29" s="8" t="str">
        <f>IF(AND(M29&gt;0,N29&gt;0),INDEX($B$35:$B$167,N29),"")</f>
        <v>Install Centerline Rumble Strips On Horizontal Curves</v>
      </c>
      <c r="D29" s="8" t="str">
        <f>IF(AND(M29&gt;0,N29&gt;0),INDEX($C$35:$C$167,N29),"")</f>
        <v>CM: Centerline Rumble Strips (Two-Lane Roads)</v>
      </c>
      <c r="E29" s="21" t="str">
        <f>IF(AND(M29&gt;0,N29&gt;0),TEXT(INDEX($D$35:$D$167,N29)/100,"0.0%"),"")</f>
        <v>47.0%</v>
      </c>
      <c r="F29" s="21">
        <f>IF(AND(M29&gt;0,N29&gt;0),INDEX($E$35:$E$167,N29),"")</f>
        <v>0.53</v>
      </c>
      <c r="G29" s="21">
        <f>IF(AND(M29&gt;0,N29&gt;0),IF(INDEX($F$35:$F$167,N29)&lt;=0,"NR",INDEX($F$35:$F$167,N29)),"")</f>
        <v>5</v>
      </c>
      <c r="H29" s="8" t="str">
        <f t="shared" si="0"/>
        <v>All crashes / Only: Head on,Sideswipe</v>
      </c>
      <c r="I29" s="8" t="e">
        <f t="shared" si="1"/>
        <v>#REF!</v>
      </c>
      <c r="J29" s="21">
        <f t="shared" si="2"/>
        <v>97</v>
      </c>
      <c r="K29" s="21" t="str">
        <f t="shared" si="3"/>
        <v xml:space="preserve">Added  </v>
      </c>
      <c r="M29">
        <f>LARGE($S$35:$S$167,14)</f>
        <v>9749.4500000000007</v>
      </c>
      <c r="N29">
        <f t="shared" si="4"/>
        <v>50</v>
      </c>
    </row>
    <row r="30" spans="2:14" ht="22.5" customHeight="1" x14ac:dyDescent="0.25">
      <c r="B30" s="19">
        <f>IF(AND(M30&gt;0,N30&gt;0),15,"")</f>
        <v>15</v>
      </c>
      <c r="C30" s="19" t="str">
        <f>IF(AND(M30&gt;0,N30&gt;0),INDEX($B$35:$B$167,N30),"")</f>
        <v>Install W-Beam Guardrail</v>
      </c>
      <c r="D30" s="19" t="str">
        <f>IF(AND(M30&gt;0,N30&gt;0),INDEX($C$35:$C$167,N30),"")</f>
        <v>CM: Roadside Barriers (Guardrail)</v>
      </c>
      <c r="E30" s="20" t="str">
        <f>IF(AND(M30&gt;0,N30&gt;0),TEXT(INDEX($D$35:$D$167,N30)/100,"0.0%"),"")</f>
        <v>47.0%</v>
      </c>
      <c r="F30" s="20">
        <f>IF(AND(M30&gt;0,N30&gt;0),INDEX($E$35:$E$167,N30),"")</f>
        <v>0.53</v>
      </c>
      <c r="G30" s="20">
        <f>IF(AND(M30&gt;0,N30&gt;0),IF(INDEX($F$35:$F$167,N30)&lt;=0,"NR",INDEX($F$35:$F$167,N30)),"")</f>
        <v>4</v>
      </c>
      <c r="H30" s="19" t="str">
        <f t="shared" si="0"/>
        <v>Fatal &amp; injury only / Only: Nighttime,Run off road</v>
      </c>
      <c r="I30" s="19" t="e">
        <f t="shared" si="1"/>
        <v>#REF!</v>
      </c>
      <c r="J30" s="20">
        <f t="shared" si="2"/>
        <v>97</v>
      </c>
      <c r="K30" s="20" t="str">
        <f t="shared" si="3"/>
        <v xml:space="preserve">Added  </v>
      </c>
      <c r="M30">
        <f>LARGE($S$35:$S$167,15)</f>
        <v>9748.9419999999991</v>
      </c>
      <c r="N30">
        <f t="shared" si="4"/>
        <v>58</v>
      </c>
    </row>
    <row r="31" spans="2:14" x14ac:dyDescent="0.25">
      <c r="B31" s="10"/>
    </row>
    <row r="32" spans="2:14" x14ac:dyDescent="0.25">
      <c r="B32" s="10"/>
    </row>
    <row r="33" spans="1:27" hidden="1" x14ac:dyDescent="0.25">
      <c r="B33" s="22" t="s">
        <v>25</v>
      </c>
    </row>
    <row r="34" spans="1:27" hidden="1" x14ac:dyDescent="0.25">
      <c r="A34" s="23" t="s">
        <v>26</v>
      </c>
      <c r="B34" s="23" t="s">
        <v>17</v>
      </c>
      <c r="C34" s="23" t="s">
        <v>27</v>
      </c>
      <c r="D34" s="23" t="s">
        <v>28</v>
      </c>
      <c r="E34" s="23" t="s">
        <v>20</v>
      </c>
      <c r="F34" s="23" t="s">
        <v>21</v>
      </c>
      <c r="G34" s="23" t="s">
        <v>29</v>
      </c>
      <c r="H34" s="23" t="s">
        <v>30</v>
      </c>
      <c r="I34" s="23" t="s">
        <v>31</v>
      </c>
      <c r="J34" s="23" t="s">
        <v>32</v>
      </c>
      <c r="K34" s="23" t="s">
        <v>33</v>
      </c>
      <c r="L34" s="23" t="s">
        <v>34</v>
      </c>
      <c r="M34" s="23" t="s">
        <v>35</v>
      </c>
      <c r="N34" s="23" t="s">
        <v>36</v>
      </c>
      <c r="O34" s="23" t="s">
        <v>37</v>
      </c>
      <c r="P34" s="23" t="s">
        <v>38</v>
      </c>
      <c r="Q34" s="23" t="s">
        <v>39</v>
      </c>
      <c r="R34" s="23" t="s">
        <v>40</v>
      </c>
      <c r="S34" s="23" t="s">
        <v>41</v>
      </c>
      <c r="T34" s="23" t="s">
        <v>24</v>
      </c>
      <c r="U34" s="23" t="s">
        <v>42</v>
      </c>
      <c r="V34" s="23" t="s">
        <v>43</v>
      </c>
      <c r="W34" s="23" t="s">
        <v>44</v>
      </c>
      <c r="X34" s="23" t="s">
        <v>45</v>
      </c>
      <c r="Y34" s="23" t="s">
        <v>46</v>
      </c>
      <c r="Z34" s="23" t="s">
        <v>47</v>
      </c>
      <c r="AA34" s="23" t="s">
        <v>48</v>
      </c>
    </row>
    <row r="35" spans="1:27" hidden="1" x14ac:dyDescent="0.25">
      <c r="A35">
        <v>1</v>
      </c>
      <c r="B35" t="str">
        <f>Treatments!A3</f>
        <v>Install Automated Section Speed Enforcement System</v>
      </c>
      <c r="C35" t="str">
        <f>Treatments!B3</f>
        <v>CM: Appropriate Speed Limits for All Road Users</v>
      </c>
      <c r="D35">
        <f>Treatments!Q3</f>
        <v>36.799999999999997</v>
      </c>
      <c r="E35">
        <f>Treatments!P3</f>
        <v>0.63200000000000001</v>
      </c>
      <c r="F35">
        <f>IF(ISNUMBER(Treatments!N3),Treatments!N3,0)</f>
        <v>5</v>
      </c>
      <c r="G35" t="str">
        <f>IF(ISNUMBER(Treatments!U3),Treatments!U3,"")</f>
        <v/>
      </c>
      <c r="H35" t="str">
        <f>IF(ISNUMBER(Treatments!V3),Treatments!V3,"")</f>
        <v/>
      </c>
      <c r="I35" t="s">
        <v>49</v>
      </c>
      <c r="J35" t="s">
        <v>50</v>
      </c>
      <c r="K35" t="s">
        <v>6</v>
      </c>
      <c r="L35" t="s">
        <v>51</v>
      </c>
      <c r="M35">
        <f t="shared" ref="M35:M66" si="5">IF(ISNUMBER(SEARCH("|"&amp;$C$7&amp;"|",L35)),45,IF(ISNUMBER(SEARCH("|All|",L35)),18,0))</f>
        <v>18</v>
      </c>
      <c r="N35">
        <f>IF(OR($C$4="Any",I35="All"),12,IF(ISNUMBER(SEARCH($C$4,I35)),12,0))</f>
        <v>12</v>
      </c>
      <c r="O35">
        <f t="shared" ref="O35:O66" si="6">IF(OR($C$5="Any",J35="Any",J35=$C$5),13,0)</f>
        <v>13</v>
      </c>
      <c r="P35">
        <f t="shared" ref="P35:P66" si="7">IF(OR($C$6="Any",K35="Any",K35=$C$6),10,0)</f>
        <v>10</v>
      </c>
      <c r="Q35">
        <f>IF($C$8="",4,IF(AND(ISNUMBER(G35),ISNUMBER(H35)),IF(AND($C$8&gt;=G35,$C$8&lt;=H35),7,0),4))</f>
        <v>4</v>
      </c>
      <c r="R35">
        <f t="shared" ref="R35:R66" si="8">M35+N35+O35+P35+Q35+V35+Y35</f>
        <v>70</v>
      </c>
      <c r="S35">
        <f>IF(OR(M35=0,W35=0),-A35,R35*100+D35+F35*0.5-A35*0.001)</f>
        <v>7039.299</v>
      </c>
      <c r="T35" t="str">
        <f>Treatments!M3</f>
        <v xml:space="preserve">Original </v>
      </c>
      <c r="U35" t="s">
        <v>52</v>
      </c>
      <c r="V35">
        <f t="shared" ref="V35:V66" si="9">IF(OR($C$11="Any",U35="Any",U35=$C$11),8,0)</f>
        <v>8</v>
      </c>
      <c r="W35">
        <f>IF(LEFT(Treatments!AD3,3)="Yes",1,0)</f>
        <v>1</v>
      </c>
      <c r="X35" t="str">
        <f>Treatments!AE3</f>
        <v>Fatal &amp; injury only</v>
      </c>
      <c r="Y35">
        <f t="shared" ref="Y35:Y66" si="10">IF($C$12="Any",5,IF($C$12=X35,5,IF(AND($C$12="Fatal &amp; injury only",X35="All crashes"),3,0)))</f>
        <v>5</v>
      </c>
      <c r="Z35" t="str">
        <f>Treatments!AE3&amp;" / "&amp;Treatments!AF3</f>
        <v>Fatal &amp; injury only / All crash types</v>
      </c>
      <c r="AA35" t="e">
        <f>IF(Treatments!#REF!="","",Treatments!#REF!)</f>
        <v>#REF!</v>
      </c>
    </row>
    <row r="36" spans="1:27" hidden="1" x14ac:dyDescent="0.25">
      <c r="A36">
        <v>2</v>
      </c>
      <c r="B36" t="str">
        <f>Treatments!A4</f>
        <v>Implement Automated Speed Enforcement Cameras</v>
      </c>
      <c r="C36" t="str">
        <f>Treatments!B4</f>
        <v>CM: Appropriate Speed Limits for All Road Users</v>
      </c>
      <c r="D36">
        <f>Treatments!Q4</f>
        <v>54</v>
      </c>
      <c r="E36">
        <f>Treatments!P4</f>
        <v>0.46</v>
      </c>
      <c r="F36">
        <f>IF(ISNUMBER(Treatments!N4),Treatments!N4,0)</f>
        <v>4</v>
      </c>
      <c r="G36" t="str">
        <f>IF(ISNUMBER(Treatments!U4),Treatments!U4,"")</f>
        <v/>
      </c>
      <c r="H36" t="str">
        <f>IF(ISNUMBER(Treatments!V4),Treatments!V4,"")</f>
        <v/>
      </c>
      <c r="I36" t="s">
        <v>49</v>
      </c>
      <c r="J36" t="s">
        <v>50</v>
      </c>
      <c r="K36" t="s">
        <v>6</v>
      </c>
      <c r="L36" t="s">
        <v>51</v>
      </c>
      <c r="M36">
        <f t="shared" si="5"/>
        <v>18</v>
      </c>
      <c r="N36">
        <f>IF(OR($C$4="Any",I36="All"),12,IF(ISNUMBER(SEARCH($C$4,I36)),12,0))</f>
        <v>12</v>
      </c>
      <c r="O36">
        <f t="shared" si="6"/>
        <v>13</v>
      </c>
      <c r="P36">
        <f t="shared" si="7"/>
        <v>10</v>
      </c>
      <c r="Q36">
        <f>IF($C$8="",4,IF(AND(ISNUMBER(G36),ISNUMBER(H36)),IF(AND($C$8&gt;=G36,$C$8&lt;=H36),7,0),4))</f>
        <v>4</v>
      </c>
      <c r="R36">
        <f t="shared" si="8"/>
        <v>70</v>
      </c>
      <c r="S36">
        <f>IF(OR(M36=0,W36=0),-A36,R36*100+D36+F36*0.5-A36*0.001)</f>
        <v>7055.9979999999996</v>
      </c>
      <c r="T36" t="str">
        <f>Treatments!M4</f>
        <v xml:space="preserve">Original </v>
      </c>
      <c r="U36" t="s">
        <v>53</v>
      </c>
      <c r="V36">
        <f t="shared" si="9"/>
        <v>8</v>
      </c>
      <c r="W36">
        <f>IF(LEFT(Treatments!AD4,3)="Yes",1,0)</f>
        <v>1</v>
      </c>
      <c r="X36" t="str">
        <f>Treatments!AE4</f>
        <v>All crashes</v>
      </c>
      <c r="Y36">
        <f t="shared" si="10"/>
        <v>5</v>
      </c>
      <c r="Z36" t="str">
        <f>Treatments!AE4&amp;" / "&amp;Treatments!AF4</f>
        <v>All crashes / All crash types</v>
      </c>
      <c r="AA36" t="e">
        <f>IF(Treatments!#REF!="","",Treatments!#REF!)</f>
        <v>#REF!</v>
      </c>
    </row>
    <row r="37" spans="1:27" hidden="1" x14ac:dyDescent="0.25">
      <c r="A37">
        <v>3</v>
      </c>
      <c r="B37" t="str">
        <f>Treatments!A5</f>
        <v>Install Variable Speed Limit (Vsl)</v>
      </c>
      <c r="C37" t="str">
        <f>Treatments!B5</f>
        <v>CM: Appropriate Speed Limits for All Road Users</v>
      </c>
      <c r="D37">
        <f>Treatments!Q5</f>
        <v>34</v>
      </c>
      <c r="E37">
        <f>Treatments!P5</f>
        <v>0.66</v>
      </c>
      <c r="F37">
        <f>IF(ISNUMBER(Treatments!N5),Treatments!N5,0)</f>
        <v>3</v>
      </c>
      <c r="G37">
        <f>IF(ISNUMBER(Treatments!U5),Treatments!U5,"")</f>
        <v>10194</v>
      </c>
      <c r="H37">
        <f>IF(ISNUMBER(Treatments!V5),Treatments!V5,"")</f>
        <v>11090</v>
      </c>
      <c r="I37" t="s">
        <v>54</v>
      </c>
      <c r="J37" t="s">
        <v>50</v>
      </c>
      <c r="K37" t="s">
        <v>6</v>
      </c>
      <c r="L37" t="s">
        <v>51</v>
      </c>
      <c r="M37">
        <f t="shared" si="5"/>
        <v>18</v>
      </c>
      <c r="N37">
        <f>IF(OR($C$4="Any",I37="All"),12,IF(ISNUMBER(SEARCH($C$4,I37)),12,0))</f>
        <v>12</v>
      </c>
      <c r="O37">
        <f t="shared" si="6"/>
        <v>13</v>
      </c>
      <c r="P37">
        <f t="shared" si="7"/>
        <v>10</v>
      </c>
      <c r="Q37">
        <f>IF($C$8="",4,IF(AND(ISNUMBER(G37),ISNUMBER(H37)),IF(AND($C$8&gt;=G37,$C$8&lt;=H37),7,0),4))</f>
        <v>4</v>
      </c>
      <c r="R37">
        <f t="shared" si="8"/>
        <v>70</v>
      </c>
      <c r="S37">
        <f>IF(OR(M37=0,W37=0),-A37,R37*100+D37+F37*0.5-A37*0.001)</f>
        <v>7035.4970000000003</v>
      </c>
      <c r="T37" t="str">
        <f>Treatments!M5</f>
        <v xml:space="preserve">Original </v>
      </c>
      <c r="U37" t="s">
        <v>52</v>
      </c>
      <c r="V37">
        <f t="shared" si="9"/>
        <v>8</v>
      </c>
      <c r="W37">
        <f>IF(LEFT(Treatments!AD5,3)="Yes",1,0)</f>
        <v>1</v>
      </c>
      <c r="X37" t="str">
        <f>Treatments!AE5</f>
        <v>All crashes</v>
      </c>
      <c r="Y37">
        <f t="shared" si="10"/>
        <v>5</v>
      </c>
      <c r="Z37" t="str">
        <f>Treatments!AE5&amp;" / "&amp;Treatments!AF5</f>
        <v>All crashes / All crash types</v>
      </c>
      <c r="AA37" t="e">
        <f>IF(Treatments!#REF!="","",Treatments!#REF!)</f>
        <v>#REF!</v>
      </c>
    </row>
    <row r="38" spans="1:27" hidden="1" x14ac:dyDescent="0.25">
      <c r="A38">
        <v>4</v>
      </c>
      <c r="B38" t="str">
        <f>Treatments!A6</f>
        <v>Install Variable Speed Limit</v>
      </c>
      <c r="C38" t="str">
        <f>Treatments!B6</f>
        <v>CM: Appropriate Speed Limits for All Road Users</v>
      </c>
      <c r="D38">
        <f>Treatments!Q6</f>
        <v>13.9</v>
      </c>
      <c r="E38">
        <f>Treatments!P6</f>
        <v>0.86099999999999999</v>
      </c>
      <c r="F38">
        <f>IF(ISNUMBER(Treatments!N6),Treatments!N6,0)</f>
        <v>4</v>
      </c>
      <c r="G38">
        <f>IF(ISNUMBER(Treatments!U6),Treatments!U6,"")</f>
        <v>53729</v>
      </c>
      <c r="H38">
        <f>IF(ISNUMBER(Treatments!V6),Treatments!V6,"")</f>
        <v>282619</v>
      </c>
      <c r="I38" t="s">
        <v>54</v>
      </c>
      <c r="J38" t="s">
        <v>50</v>
      </c>
      <c r="K38" t="s">
        <v>6</v>
      </c>
      <c r="L38" t="s">
        <v>51</v>
      </c>
      <c r="M38">
        <f t="shared" si="5"/>
        <v>18</v>
      </c>
      <c r="N38">
        <f>IF(OR($C$4="Any",I38="All"),12,IF(ISNUMBER(SEARCH($C$4,I38)),12,0))</f>
        <v>12</v>
      </c>
      <c r="O38">
        <f t="shared" si="6"/>
        <v>13</v>
      </c>
      <c r="P38">
        <f t="shared" si="7"/>
        <v>10</v>
      </c>
      <c r="Q38">
        <f>IF($C$8="",4,IF(AND(ISNUMBER(G38),ISNUMBER(H38)),IF(AND($C$8&gt;=G38,$C$8&lt;=H38),7,0),4))</f>
        <v>4</v>
      </c>
      <c r="R38">
        <f t="shared" si="8"/>
        <v>70</v>
      </c>
      <c r="S38">
        <f>IF(OR(M38=0,W38=0),-A38,R38*100+D38+F38*0.5-A38*0.001)</f>
        <v>7015.8959999999997</v>
      </c>
      <c r="T38" t="str">
        <f>Treatments!M6</f>
        <v xml:space="preserve">Added  </v>
      </c>
      <c r="U38" t="s">
        <v>52</v>
      </c>
      <c r="V38">
        <f t="shared" si="9"/>
        <v>8</v>
      </c>
      <c r="W38">
        <f>IF(LEFT(Treatments!AD6,3)="Yes",1,0)</f>
        <v>1</v>
      </c>
      <c r="X38" t="str">
        <f>Treatments!AE6</f>
        <v>Fatal &amp; injury only</v>
      </c>
      <c r="Y38">
        <f t="shared" si="10"/>
        <v>5</v>
      </c>
      <c r="Z38" t="str">
        <f>Treatments!AE6&amp;" / "&amp;Treatments!AF6</f>
        <v>Fatal &amp; injury only / All crash types</v>
      </c>
      <c r="AA38" t="e">
        <f>IF(Treatments!#REF!="","",Treatments!#REF!)</f>
        <v>#REF!</v>
      </c>
    </row>
    <row r="39" spans="1:27" hidden="1" x14ac:dyDescent="0.25">
      <c r="A39">
        <v>5</v>
      </c>
      <c r="B39" t="str">
        <f>Treatments!A7</f>
        <v>Install Dynamic Speed Feedback Sign</v>
      </c>
      <c r="C39" t="str">
        <f>Treatments!B7</f>
        <v>CM: Appropriate Speed Limits for All Road Users</v>
      </c>
      <c r="D39">
        <f>Treatments!Q7</f>
        <v>7</v>
      </c>
      <c r="E39">
        <f>Treatments!P7</f>
        <v>0.93</v>
      </c>
      <c r="F39">
        <f>IF(ISNUMBER(Treatments!N7),Treatments!N7,0)</f>
        <v>4</v>
      </c>
      <c r="G39">
        <f>IF(ISNUMBER(Treatments!U7),Treatments!U7,"")</f>
        <v>400</v>
      </c>
      <c r="H39">
        <f>IF(ISNUMBER(Treatments!V7),Treatments!V7,"")</f>
        <v>8400</v>
      </c>
      <c r="I39" t="s">
        <v>55</v>
      </c>
      <c r="J39" t="s">
        <v>50</v>
      </c>
      <c r="K39" t="s">
        <v>6</v>
      </c>
      <c r="L39" t="s">
        <v>51</v>
      </c>
      <c r="M39">
        <f t="shared" si="5"/>
        <v>18</v>
      </c>
      <c r="N39">
        <f>IF(OR($C$4="Any",I39="All"),12,IF(ISNUMBER(SEARCH($C$4,I39)),12,0))</f>
        <v>12</v>
      </c>
      <c r="O39">
        <f t="shared" si="6"/>
        <v>13</v>
      </c>
      <c r="P39">
        <f t="shared" si="7"/>
        <v>10</v>
      </c>
      <c r="Q39">
        <f>IF($C$8="",4,IF(AND(ISNUMBER(G39),ISNUMBER(H39)),IF(AND($C$8&gt;=G39,$C$8&lt;=H39),7,0),4))</f>
        <v>4</v>
      </c>
      <c r="R39">
        <f t="shared" si="8"/>
        <v>70</v>
      </c>
      <c r="S39">
        <f>IF(OR(M39=0,W39=0),-A39,R39*100+D39+F39*0.5-A39*0.001)</f>
        <v>7008.9949999999999</v>
      </c>
      <c r="T39" t="str">
        <f>Treatments!M7</f>
        <v xml:space="preserve">Added  </v>
      </c>
      <c r="U39" t="s">
        <v>6</v>
      </c>
      <c r="V39">
        <f t="shared" si="9"/>
        <v>8</v>
      </c>
      <c r="W39">
        <f>IF(LEFT(Treatments!AD7,3)="Yes",1,0)</f>
        <v>1</v>
      </c>
      <c r="X39" t="str">
        <f>Treatments!AE7</f>
        <v>All crashes</v>
      </c>
      <c r="Y39">
        <f t="shared" si="10"/>
        <v>5</v>
      </c>
      <c r="Z39" t="str">
        <f>Treatments!AE7&amp;" / "&amp;Treatments!AF7</f>
        <v>All crashes / All crash types</v>
      </c>
      <c r="AA39" t="e">
        <f>IF(Treatments!#REF!="","",Treatments!#REF!)</f>
        <v>#REF!</v>
      </c>
    </row>
    <row r="40" spans="1:27" hidden="1" x14ac:dyDescent="0.25">
      <c r="A40">
        <v>6</v>
      </c>
      <c r="B40" t="str">
        <f>Treatments!A8</f>
        <v>Install Automated Section Speed Enforcement System</v>
      </c>
      <c r="C40" t="str">
        <f>Treatments!B8</f>
        <v>CM: Appropriate Speed Limits for All Road Users</v>
      </c>
      <c r="D40">
        <f>Treatments!Q8</f>
        <v>43.7</v>
      </c>
      <c r="E40">
        <f>Treatments!P8</f>
        <v>0.56299999999999994</v>
      </c>
      <c r="F40">
        <f>IF(ISNUMBER(Treatments!N8),Treatments!N8,0)</f>
        <v>5</v>
      </c>
      <c r="G40" t="str">
        <f>IF(ISNUMBER(Treatments!U8),Treatments!U8,"")</f>
        <v/>
      </c>
      <c r="H40" t="str">
        <f>IF(ISNUMBER(Treatments!V8),Treatments!V8,"")</f>
        <v/>
      </c>
      <c r="I40" t="s">
        <v>49</v>
      </c>
      <c r="J40" t="s">
        <v>50</v>
      </c>
      <c r="K40" t="s">
        <v>6</v>
      </c>
      <c r="L40" t="s">
        <v>56</v>
      </c>
      <c r="M40">
        <f t="shared" si="5"/>
        <v>0</v>
      </c>
      <c r="N40">
        <f>IF(OR($C$4="Any",I40="All"),12,IF(ISNUMBER(SEARCH($C$4,I40)),12,0))</f>
        <v>12</v>
      </c>
      <c r="O40">
        <f t="shared" si="6"/>
        <v>13</v>
      </c>
      <c r="P40">
        <f t="shared" si="7"/>
        <v>10</v>
      </c>
      <c r="Q40">
        <f>IF($C$8="",4,IF(AND(ISNUMBER(G40),ISNUMBER(H40)),IF(AND($C$8&gt;=G40,$C$8&lt;=H40),7,0),4))</f>
        <v>4</v>
      </c>
      <c r="R40">
        <f t="shared" si="8"/>
        <v>52</v>
      </c>
      <c r="S40">
        <f>IF(OR(M40=0,W40=0),-A40,R40*100+D40+F40*0.5-A40*0.001)</f>
        <v>-6</v>
      </c>
      <c r="T40" t="str">
        <f>Treatments!M8</f>
        <v xml:space="preserve">Added  </v>
      </c>
      <c r="U40" t="s">
        <v>52</v>
      </c>
      <c r="V40">
        <f t="shared" si="9"/>
        <v>8</v>
      </c>
      <c r="W40">
        <f>IF(LEFT(Treatments!AD8,3)="Yes",1,0)</f>
        <v>1</v>
      </c>
      <c r="X40" t="str">
        <f>Treatments!AE8</f>
        <v>All crashes</v>
      </c>
      <c r="Y40">
        <f t="shared" si="10"/>
        <v>5</v>
      </c>
      <c r="Z40" t="str">
        <f>Treatments!AE8&amp;" / "&amp;Treatments!AF8</f>
        <v>All crashes / Only: Single vehicle</v>
      </c>
      <c r="AA40" t="e">
        <f>IF(Treatments!#REF!="","",Treatments!#REF!)</f>
        <v>#REF!</v>
      </c>
    </row>
    <row r="41" spans="1:27" hidden="1" x14ac:dyDescent="0.25">
      <c r="A41">
        <v>7</v>
      </c>
      <c r="B41" t="str">
        <f>Treatments!A9</f>
        <v>Implement Mobile Automated Speed Enforcement System</v>
      </c>
      <c r="C41" t="str">
        <f>Treatments!B9</f>
        <v>CM: Appropriate Speed Limits for All Road Users</v>
      </c>
      <c r="D41">
        <f>Treatments!Q9</f>
        <v>20.100000000000001</v>
      </c>
      <c r="E41">
        <f>Treatments!P9</f>
        <v>0.79900000000000004</v>
      </c>
      <c r="F41">
        <f>IF(ISNUMBER(Treatments!N9),Treatments!N9,0)</f>
        <v>5</v>
      </c>
      <c r="G41">
        <f>IF(ISNUMBER(Treatments!U9),Treatments!U9,"")</f>
        <v>2079</v>
      </c>
      <c r="H41">
        <f>IF(ISNUMBER(Treatments!V9),Treatments!V9,"")</f>
        <v>22960</v>
      </c>
      <c r="I41" t="s">
        <v>49</v>
      </c>
      <c r="J41" t="s">
        <v>50</v>
      </c>
      <c r="K41" t="s">
        <v>6</v>
      </c>
      <c r="L41" t="s">
        <v>51</v>
      </c>
      <c r="M41">
        <f t="shared" si="5"/>
        <v>18</v>
      </c>
      <c r="N41">
        <f>IF(OR($C$4="Any",I41="All"),12,IF(ISNUMBER(SEARCH($C$4,I41)),12,0))</f>
        <v>12</v>
      </c>
      <c r="O41">
        <f t="shared" si="6"/>
        <v>13</v>
      </c>
      <c r="P41">
        <f t="shared" si="7"/>
        <v>10</v>
      </c>
      <c r="Q41">
        <f>IF($C$8="",4,IF(AND(ISNUMBER(G41),ISNUMBER(H41)),IF(AND($C$8&gt;=G41,$C$8&lt;=H41),7,0),4))</f>
        <v>4</v>
      </c>
      <c r="R41">
        <f t="shared" si="8"/>
        <v>70</v>
      </c>
      <c r="S41">
        <f>IF(OR(M41=0,W41=0),-A41,R41*100+D41+F41*0.5-A41*0.001)</f>
        <v>7022.5930000000008</v>
      </c>
      <c r="T41" t="str">
        <f>Treatments!M9</f>
        <v xml:space="preserve">Added  </v>
      </c>
      <c r="U41" t="s">
        <v>53</v>
      </c>
      <c r="V41">
        <f t="shared" si="9"/>
        <v>8</v>
      </c>
      <c r="W41">
        <f>IF(LEFT(Treatments!AD9,3)="Yes",1,0)</f>
        <v>1</v>
      </c>
      <c r="X41" t="str">
        <f>Treatments!AE9</f>
        <v>Fatal &amp; injury only</v>
      </c>
      <c r="Y41">
        <f t="shared" si="10"/>
        <v>5</v>
      </c>
      <c r="Z41" t="str">
        <f>Treatments!AE9&amp;" / "&amp;Treatments!AF9</f>
        <v>Fatal &amp; injury only / All crash types</v>
      </c>
      <c r="AA41" t="e">
        <f>IF(Treatments!#REF!="","",Treatments!#REF!)</f>
        <v>#REF!</v>
      </c>
    </row>
    <row r="42" spans="1:27" hidden="1" x14ac:dyDescent="0.25">
      <c r="A42">
        <v>8</v>
      </c>
      <c r="B42" t="str">
        <f>Treatments!A10</f>
        <v>Implement Automated Speed Enforcement Cameras</v>
      </c>
      <c r="C42" t="str">
        <f>Treatments!B10</f>
        <v>CM: Appropriate Speed Limits for All Road Users</v>
      </c>
      <c r="D42">
        <f>Treatments!Q10</f>
        <v>67</v>
      </c>
      <c r="E42">
        <f>Treatments!P10</f>
        <v>0.33</v>
      </c>
      <c r="F42">
        <f>IF(ISNUMBER(Treatments!N10),Treatments!N10,0)</f>
        <v>4</v>
      </c>
      <c r="G42" t="str">
        <f>IF(ISNUMBER(Treatments!U10),Treatments!U10,"")</f>
        <v/>
      </c>
      <c r="H42" t="str">
        <f>IF(ISNUMBER(Treatments!V10),Treatments!V10,"")</f>
        <v/>
      </c>
      <c r="I42" t="s">
        <v>49</v>
      </c>
      <c r="J42" t="s">
        <v>50</v>
      </c>
      <c r="K42" t="s">
        <v>6</v>
      </c>
      <c r="L42" t="s">
        <v>56</v>
      </c>
      <c r="M42">
        <f t="shared" si="5"/>
        <v>0</v>
      </c>
      <c r="N42">
        <f>IF(OR($C$4="Any",I42="All"),12,IF(ISNUMBER(SEARCH($C$4,I42)),12,0))</f>
        <v>12</v>
      </c>
      <c r="O42">
        <f t="shared" si="6"/>
        <v>13</v>
      </c>
      <c r="P42">
        <f t="shared" si="7"/>
        <v>10</v>
      </c>
      <c r="Q42">
        <f>IF($C$8="",4,IF(AND(ISNUMBER(G42),ISNUMBER(H42)),IF(AND($C$8&gt;=G42,$C$8&lt;=H42),7,0),4))</f>
        <v>4</v>
      </c>
      <c r="R42">
        <f t="shared" si="8"/>
        <v>52</v>
      </c>
      <c r="S42">
        <f>IF(OR(M42=0,W42=0),-A42,R42*100+D42+F42*0.5-A42*0.001)</f>
        <v>-8</v>
      </c>
      <c r="T42" t="str">
        <f>Treatments!M10</f>
        <v xml:space="preserve">Added  </v>
      </c>
      <c r="U42" t="s">
        <v>53</v>
      </c>
      <c r="V42">
        <f t="shared" si="9"/>
        <v>8</v>
      </c>
      <c r="W42">
        <f>IF(LEFT(Treatments!AD10,3)="Yes",1,0)</f>
        <v>1</v>
      </c>
      <c r="X42" t="str">
        <f>Treatments!AE10</f>
        <v>PDO only</v>
      </c>
      <c r="Y42">
        <f t="shared" si="10"/>
        <v>5</v>
      </c>
      <c r="Z42" t="str">
        <f>Treatments!AE10&amp;" / "&amp;Treatments!AF10</f>
        <v>PDO only / Only: Single vehicle</v>
      </c>
      <c r="AA42" t="e">
        <f>IF(Treatments!#REF!="","",Treatments!#REF!)</f>
        <v>#REF!</v>
      </c>
    </row>
    <row r="43" spans="1:27" hidden="1" x14ac:dyDescent="0.25">
      <c r="A43">
        <v>9</v>
      </c>
      <c r="B43" t="str">
        <f>Treatments!A11</f>
        <v>Install Automated Section Speed Enforcement System On Curves</v>
      </c>
      <c r="C43" t="str">
        <f>Treatments!B11</f>
        <v>CM: Appropriate Speed Limits for All Road Users</v>
      </c>
      <c r="D43">
        <f>Treatments!Q11</f>
        <v>43</v>
      </c>
      <c r="E43">
        <f>Treatments!P11</f>
        <v>0.56999999999999995</v>
      </c>
      <c r="F43">
        <f>IF(ISNUMBER(Treatments!N11),Treatments!N11,0)</f>
        <v>4</v>
      </c>
      <c r="G43">
        <f>IF(ISNUMBER(Treatments!U11),Treatments!U11,"")</f>
        <v>23000</v>
      </c>
      <c r="H43">
        <f>IF(ISNUMBER(Treatments!V11),Treatments!V11,"")</f>
        <v>42000</v>
      </c>
      <c r="I43" t="s">
        <v>54</v>
      </c>
      <c r="J43" t="s">
        <v>50</v>
      </c>
      <c r="K43" t="s">
        <v>6</v>
      </c>
      <c r="L43" t="s">
        <v>51</v>
      </c>
      <c r="M43">
        <f t="shared" si="5"/>
        <v>18</v>
      </c>
      <c r="N43">
        <f>IF(OR($C$4="Any",I43="All"),12,IF(ISNUMBER(SEARCH($C$4,I43)),12,0))</f>
        <v>12</v>
      </c>
      <c r="O43">
        <f t="shared" si="6"/>
        <v>13</v>
      </c>
      <c r="P43">
        <f t="shared" si="7"/>
        <v>10</v>
      </c>
      <c r="Q43">
        <f>IF($C$8="",4,IF(AND(ISNUMBER(G43),ISNUMBER(H43)),IF(AND($C$8&gt;=G43,$C$8&lt;=H43),7,0),4))</f>
        <v>4</v>
      </c>
      <c r="R43">
        <f t="shared" si="8"/>
        <v>70</v>
      </c>
      <c r="S43">
        <f>IF(OR(M43=0,W43=0),-A43,R43*100+D43+F43*0.5-A43*0.001)</f>
        <v>7044.991</v>
      </c>
      <c r="T43" t="str">
        <f>Treatments!M11</f>
        <v xml:space="preserve">Added  </v>
      </c>
      <c r="U43" t="s">
        <v>52</v>
      </c>
      <c r="V43">
        <f t="shared" si="9"/>
        <v>8</v>
      </c>
      <c r="W43">
        <f>IF(LEFT(Treatments!AD11,3)="Yes",1,0)</f>
        <v>1</v>
      </c>
      <c r="X43" t="str">
        <f>Treatments!AE11</f>
        <v>All crashes</v>
      </c>
      <c r="Y43">
        <f t="shared" si="10"/>
        <v>5</v>
      </c>
      <c r="Z43" t="str">
        <f>Treatments!AE11&amp;" / "&amp;Treatments!AF11</f>
        <v>All crashes / All crash types</v>
      </c>
      <c r="AA43" t="e">
        <f>IF(Treatments!#REF!="","",Treatments!#REF!)</f>
        <v>#REF!</v>
      </c>
    </row>
    <row r="44" spans="1:27" hidden="1" x14ac:dyDescent="0.25">
      <c r="A44">
        <v>10</v>
      </c>
      <c r="B44" t="str">
        <f>Treatments!A12</f>
        <v>Convert Traditional Or Flush Buffered Bike Lane To Sbl With Flexi-Posts</v>
      </c>
      <c r="C44" t="str">
        <f>Treatments!B12</f>
        <v>CM: Bicycle Lanes</v>
      </c>
      <c r="D44">
        <f>Treatments!Q12</f>
        <v>53.2</v>
      </c>
      <c r="E44">
        <f>Treatments!P12</f>
        <v>0.46800000000000003</v>
      </c>
      <c r="F44">
        <f>IF(ISNUMBER(Treatments!N12),Treatments!N12,0)</f>
        <v>4</v>
      </c>
      <c r="G44" t="str">
        <f>IF(ISNUMBER(Treatments!U12),Treatments!U12,"")</f>
        <v/>
      </c>
      <c r="H44" t="str">
        <f>IF(ISNUMBER(Treatments!V12),Treatments!V12,"")</f>
        <v/>
      </c>
      <c r="I44" t="s">
        <v>49</v>
      </c>
      <c r="J44" t="s">
        <v>50</v>
      </c>
      <c r="K44" t="s">
        <v>6</v>
      </c>
      <c r="L44" t="s">
        <v>57</v>
      </c>
      <c r="M44">
        <f t="shared" si="5"/>
        <v>0</v>
      </c>
      <c r="N44">
        <f>IF(OR($C$4="Any",I44="All"),12,IF(ISNUMBER(SEARCH($C$4,I44)),12,0))</f>
        <v>12</v>
      </c>
      <c r="O44">
        <f t="shared" si="6"/>
        <v>13</v>
      </c>
      <c r="P44">
        <f t="shared" si="7"/>
        <v>10</v>
      </c>
      <c r="Q44">
        <f>IF($C$8="",4,IF(AND(ISNUMBER(G44),ISNUMBER(H44)),IF(AND($C$8&gt;=G44,$C$8&lt;=H44),7,0),4))</f>
        <v>4</v>
      </c>
      <c r="R44">
        <f t="shared" si="8"/>
        <v>52</v>
      </c>
      <c r="S44">
        <f>IF(OR(M44=0,W44=0),-A44,R44*100+D44+F44*0.5-A44*0.001)</f>
        <v>-10</v>
      </c>
      <c r="T44" t="str">
        <f>Treatments!M12</f>
        <v xml:space="preserve">Original </v>
      </c>
      <c r="U44" t="s">
        <v>6</v>
      </c>
      <c r="V44">
        <f t="shared" si="9"/>
        <v>8</v>
      </c>
      <c r="W44">
        <f>IF(LEFT(Treatments!AD12,3)="Yes",1,0)</f>
        <v>1</v>
      </c>
      <c r="X44" t="str">
        <f>Treatments!AE12</f>
        <v>All crashes</v>
      </c>
      <c r="Y44">
        <f t="shared" si="10"/>
        <v>5</v>
      </c>
      <c r="Z44" t="str">
        <f>Treatments!AE12&amp;" / "&amp;Treatments!AF12</f>
        <v>All crashes / Only: Vehicle/bicycle</v>
      </c>
      <c r="AA44" t="e">
        <f>IF(Treatments!#REF!="","",Treatments!#REF!)</f>
        <v>#REF!</v>
      </c>
    </row>
    <row r="45" spans="1:27" hidden="1" x14ac:dyDescent="0.25">
      <c r="A45">
        <v>11</v>
      </c>
      <c r="B45" t="str">
        <f>Treatments!A13</f>
        <v>Install Bicycle Lanes</v>
      </c>
      <c r="C45" t="str">
        <f>Treatments!B13</f>
        <v>CM: Bicycle Lanes</v>
      </c>
      <c r="D45">
        <f>Treatments!Q13</f>
        <v>49</v>
      </c>
      <c r="E45">
        <f>Treatments!P13</f>
        <v>0.51</v>
      </c>
      <c r="F45">
        <f>IF(ISNUMBER(Treatments!N13),Treatments!N13,0)</f>
        <v>4</v>
      </c>
      <c r="G45">
        <f>IF(ISNUMBER(Treatments!U13),Treatments!U13,"")</f>
        <v>10</v>
      </c>
      <c r="H45">
        <f>IF(ISNUMBER(Treatments!V13),Treatments!V13,"")</f>
        <v>92462</v>
      </c>
      <c r="I45" t="s">
        <v>49</v>
      </c>
      <c r="J45" t="s">
        <v>50</v>
      </c>
      <c r="K45" t="s">
        <v>6</v>
      </c>
      <c r="L45" t="s">
        <v>58</v>
      </c>
      <c r="M45">
        <f t="shared" si="5"/>
        <v>18</v>
      </c>
      <c r="N45">
        <f>IF(OR($C$4="Any",I45="All"),12,IF(ISNUMBER(SEARCH($C$4,I45)),12,0))</f>
        <v>12</v>
      </c>
      <c r="O45">
        <f t="shared" si="6"/>
        <v>13</v>
      </c>
      <c r="P45">
        <f t="shared" si="7"/>
        <v>10</v>
      </c>
      <c r="Q45">
        <f>IF($C$8="",4,IF(AND(ISNUMBER(G45),ISNUMBER(H45)),IF(AND($C$8&gt;=G45,$C$8&lt;=H45),7,0),4))</f>
        <v>4</v>
      </c>
      <c r="R45">
        <f t="shared" si="8"/>
        <v>70</v>
      </c>
      <c r="S45">
        <f>IF(OR(M45=0,W45=0),-A45,R45*100+D45+F45*0.5-A45*0.001)</f>
        <v>7050.9889999999996</v>
      </c>
      <c r="T45" t="str">
        <f>Treatments!M13</f>
        <v xml:space="preserve">Original </v>
      </c>
      <c r="U45" t="s">
        <v>6</v>
      </c>
      <c r="V45">
        <f t="shared" si="9"/>
        <v>8</v>
      </c>
      <c r="W45">
        <f>IF(LEFT(Treatments!AD13,3)="Yes",1,0)</f>
        <v>1</v>
      </c>
      <c r="X45" t="str">
        <f>Treatments!AE13</f>
        <v>All crashes</v>
      </c>
      <c r="Y45">
        <f t="shared" si="10"/>
        <v>5</v>
      </c>
      <c r="Z45" t="str">
        <f>Treatments!AE13&amp;" / "&amp;Treatments!AF13</f>
        <v>All crashes / All crash types</v>
      </c>
      <c r="AA45" t="e">
        <f>IF(Treatments!#REF!="","",Treatments!#REF!)</f>
        <v>#REF!</v>
      </c>
    </row>
    <row r="46" spans="1:27" hidden="1" x14ac:dyDescent="0.25">
      <c r="A46">
        <v>12</v>
      </c>
      <c r="B46" t="str">
        <f>Treatments!A14</f>
        <v>Install Bicycle Boulevard</v>
      </c>
      <c r="C46" t="str">
        <f>Treatments!B14</f>
        <v>CM: Bicycle Lanes</v>
      </c>
      <c r="D46">
        <f>Treatments!Q14</f>
        <v>63</v>
      </c>
      <c r="E46">
        <f>Treatments!P14</f>
        <v>0.37</v>
      </c>
      <c r="F46">
        <f>IF(ISNUMBER(Treatments!N14),Treatments!N14,0)</f>
        <v>4</v>
      </c>
      <c r="G46" t="str">
        <f>IF(ISNUMBER(Treatments!U14),Treatments!U14,"")</f>
        <v/>
      </c>
      <c r="H46" t="str">
        <f>IF(ISNUMBER(Treatments!V14),Treatments!V14,"")</f>
        <v/>
      </c>
      <c r="I46" t="s">
        <v>59</v>
      </c>
      <c r="J46" t="s">
        <v>50</v>
      </c>
      <c r="K46" t="s">
        <v>6</v>
      </c>
      <c r="L46" t="s">
        <v>57</v>
      </c>
      <c r="M46">
        <f t="shared" si="5"/>
        <v>0</v>
      </c>
      <c r="N46">
        <f>IF(OR($C$4="Any",I46="All"),12,IF(ISNUMBER(SEARCH($C$4,I46)),12,0))</f>
        <v>12</v>
      </c>
      <c r="O46">
        <f t="shared" si="6"/>
        <v>13</v>
      </c>
      <c r="P46">
        <f t="shared" si="7"/>
        <v>10</v>
      </c>
      <c r="Q46">
        <f>IF($C$8="",4,IF(AND(ISNUMBER(G46),ISNUMBER(H46)),IF(AND($C$8&gt;=G46,$C$8&lt;=H46),7,0),4))</f>
        <v>4</v>
      </c>
      <c r="R46">
        <f t="shared" si="8"/>
        <v>52</v>
      </c>
      <c r="S46">
        <f>IF(OR(M46=0,W46=0),-A46,R46*100+D46+F46*0.5-A46*0.001)</f>
        <v>-12</v>
      </c>
      <c r="T46" t="str">
        <f>Treatments!M14</f>
        <v xml:space="preserve">Added  </v>
      </c>
      <c r="U46" t="s">
        <v>6</v>
      </c>
      <c r="V46">
        <f t="shared" si="9"/>
        <v>8</v>
      </c>
      <c r="W46">
        <f>IF(LEFT(Treatments!AD14,3)="Yes",1,0)</f>
        <v>1</v>
      </c>
      <c r="X46" t="str">
        <f>Treatments!AE14</f>
        <v>All crashes</v>
      </c>
      <c r="Y46">
        <f t="shared" si="10"/>
        <v>5</v>
      </c>
      <c r="Z46" t="str">
        <f>Treatments!AE14&amp;" / "&amp;Treatments!AF14</f>
        <v>All crashes / Only: Vehicle/bicycle</v>
      </c>
      <c r="AA46" t="e">
        <f>IF(Treatments!#REF!="","",Treatments!#REF!)</f>
        <v>#REF!</v>
      </c>
    </row>
    <row r="47" spans="1:27" hidden="1" x14ac:dyDescent="0.25">
      <c r="A47">
        <v>13</v>
      </c>
      <c r="B47" t="str">
        <f>Treatments!A15</f>
        <v>Convert Flush Buffered Bike Lane To SBL With Flexi-Posts</v>
      </c>
      <c r="C47" t="str">
        <f>Treatments!B15</f>
        <v>CM: Bicycle Lanes</v>
      </c>
      <c r="D47">
        <f>Treatments!Q15</f>
        <v>55.9</v>
      </c>
      <c r="E47">
        <f>Treatments!P15</f>
        <v>0.441</v>
      </c>
      <c r="F47">
        <f>IF(ISNUMBER(Treatments!N15),Treatments!N15,0)</f>
        <v>4</v>
      </c>
      <c r="G47" t="str">
        <f>IF(ISNUMBER(Treatments!U15),Treatments!U15,"")</f>
        <v/>
      </c>
      <c r="H47" t="str">
        <f>IF(ISNUMBER(Treatments!V15),Treatments!V15,"")</f>
        <v/>
      </c>
      <c r="I47" t="s">
        <v>49</v>
      </c>
      <c r="J47" t="s">
        <v>50</v>
      </c>
      <c r="K47" t="s">
        <v>6</v>
      </c>
      <c r="L47" t="s">
        <v>57</v>
      </c>
      <c r="M47">
        <f t="shared" si="5"/>
        <v>0</v>
      </c>
      <c r="N47">
        <f>IF(OR($C$4="Any",I47="All"),12,IF(ISNUMBER(SEARCH($C$4,I47)),12,0))</f>
        <v>12</v>
      </c>
      <c r="O47">
        <f t="shared" si="6"/>
        <v>13</v>
      </c>
      <c r="P47">
        <f t="shared" si="7"/>
        <v>10</v>
      </c>
      <c r="Q47">
        <f>IF($C$8="",4,IF(AND(ISNUMBER(G47),ISNUMBER(H47)),IF(AND($C$8&gt;=G47,$C$8&lt;=H47),7,0),4))</f>
        <v>4</v>
      </c>
      <c r="R47">
        <f t="shared" si="8"/>
        <v>52</v>
      </c>
      <c r="S47">
        <f>IF(OR(M47=0,W47=0),-A47,R47*100+D47+F47*0.5-A47*0.001)</f>
        <v>-13</v>
      </c>
      <c r="T47" t="str">
        <f>Treatments!M15</f>
        <v xml:space="preserve">Added  </v>
      </c>
      <c r="U47" t="s">
        <v>6</v>
      </c>
      <c r="V47">
        <f t="shared" si="9"/>
        <v>8</v>
      </c>
      <c r="W47">
        <f>IF(LEFT(Treatments!AD15,3)="Yes",1,0)</f>
        <v>1</v>
      </c>
      <c r="X47" t="str">
        <f>Treatments!AE15</f>
        <v>All crashes</v>
      </c>
      <c r="Y47">
        <f t="shared" si="10"/>
        <v>5</v>
      </c>
      <c r="Z47" t="str">
        <f>Treatments!AE15&amp;" / "&amp;Treatments!AF15</f>
        <v>All crashes / Only: Vehicle/bicycle</v>
      </c>
      <c r="AA47" t="e">
        <f>IF(Treatments!#REF!="","",Treatments!#REF!)</f>
        <v>#REF!</v>
      </c>
    </row>
    <row r="48" spans="1:27" hidden="1" x14ac:dyDescent="0.25">
      <c r="A48">
        <v>14</v>
      </c>
      <c r="B48" t="str">
        <f>Treatments!A16</f>
        <v>Install Separated Bicycle Lane</v>
      </c>
      <c r="C48" t="str">
        <f>Treatments!B16</f>
        <v>CM: Bicycle Lanes</v>
      </c>
      <c r="D48">
        <f>Treatments!Q16</f>
        <v>54.4</v>
      </c>
      <c r="E48">
        <f>Treatments!P16</f>
        <v>0.45600000000000002</v>
      </c>
      <c r="F48">
        <f>IF(ISNUMBER(Treatments!N16),Treatments!N16,0)</f>
        <v>4</v>
      </c>
      <c r="G48">
        <f>IF(ISNUMBER(Treatments!U16),Treatments!U16,"")</f>
        <v>2678</v>
      </c>
      <c r="H48">
        <f>IF(ISNUMBER(Treatments!V16),Treatments!V16,"")</f>
        <v>46640</v>
      </c>
      <c r="I48" t="s">
        <v>54</v>
      </c>
      <c r="J48" t="s">
        <v>50</v>
      </c>
      <c r="K48" t="s">
        <v>6</v>
      </c>
      <c r="L48" t="s">
        <v>58</v>
      </c>
      <c r="M48">
        <f t="shared" si="5"/>
        <v>18</v>
      </c>
      <c r="N48">
        <f>IF(OR($C$4="Any",I48="All"),12,IF(ISNUMBER(SEARCH($C$4,I48)),12,0))</f>
        <v>12</v>
      </c>
      <c r="O48">
        <f t="shared" si="6"/>
        <v>13</v>
      </c>
      <c r="P48">
        <f t="shared" si="7"/>
        <v>10</v>
      </c>
      <c r="Q48">
        <f>IF($C$8="",4,IF(AND(ISNUMBER(G48),ISNUMBER(H48)),IF(AND($C$8&gt;=G48,$C$8&lt;=H48),7,0),4))</f>
        <v>4</v>
      </c>
      <c r="R48">
        <f t="shared" si="8"/>
        <v>70</v>
      </c>
      <c r="S48">
        <f>IF(OR(M48=0,W48=0),-A48,R48*100+D48+F48*0.5-A48*0.001)</f>
        <v>7056.3859999999995</v>
      </c>
      <c r="T48" t="str">
        <f>Treatments!M16</f>
        <v xml:space="preserve">Added  </v>
      </c>
      <c r="U48" t="s">
        <v>6</v>
      </c>
      <c r="V48">
        <f t="shared" si="9"/>
        <v>8</v>
      </c>
      <c r="W48">
        <f>IF(LEFT(Treatments!AD16,3)="Yes",1,0)</f>
        <v>1</v>
      </c>
      <c r="X48" t="str">
        <f>Treatments!AE16</f>
        <v>All crashes</v>
      </c>
      <c r="Y48">
        <f t="shared" si="10"/>
        <v>5</v>
      </c>
      <c r="Z48" t="str">
        <f>Treatments!AE16&amp;" / "&amp;Treatments!AF16</f>
        <v>All crashes / All crash types</v>
      </c>
      <c r="AA48" t="e">
        <f>IF(Treatments!#REF!="","",Treatments!#REF!)</f>
        <v>#REF!</v>
      </c>
    </row>
    <row r="49" spans="1:27" hidden="1" x14ac:dyDescent="0.25">
      <c r="A49">
        <v>15</v>
      </c>
      <c r="B49" t="str">
        <f>Treatments!A17</f>
        <v>Convert Traditional Bike Lane To SBL With Flexi-Posts</v>
      </c>
      <c r="C49" t="str">
        <f>Treatments!B17</f>
        <v>CM: Bicycle Lanes</v>
      </c>
      <c r="D49">
        <f>Treatments!Q17</f>
        <v>50.2</v>
      </c>
      <c r="E49">
        <f>Treatments!P17</f>
        <v>0.498</v>
      </c>
      <c r="F49">
        <f>IF(ISNUMBER(Treatments!N17),Treatments!N17,0)</f>
        <v>4</v>
      </c>
      <c r="G49" t="str">
        <f>IF(ISNUMBER(Treatments!U17),Treatments!U17,"")</f>
        <v/>
      </c>
      <c r="H49" t="str">
        <f>IF(ISNUMBER(Treatments!V17),Treatments!V17,"")</f>
        <v/>
      </c>
      <c r="I49" t="s">
        <v>49</v>
      </c>
      <c r="J49" t="s">
        <v>50</v>
      </c>
      <c r="K49" t="s">
        <v>6</v>
      </c>
      <c r="L49" t="s">
        <v>57</v>
      </c>
      <c r="M49">
        <f t="shared" si="5"/>
        <v>0</v>
      </c>
      <c r="N49">
        <f>IF(OR($C$4="Any",I49="All"),12,IF(ISNUMBER(SEARCH($C$4,I49)),12,0))</f>
        <v>12</v>
      </c>
      <c r="O49">
        <f t="shared" si="6"/>
        <v>13</v>
      </c>
      <c r="P49">
        <f t="shared" si="7"/>
        <v>10</v>
      </c>
      <c r="Q49">
        <f>IF($C$8="",4,IF(AND(ISNUMBER(G49),ISNUMBER(H49)),IF(AND($C$8&gt;=G49,$C$8&lt;=H49),7,0),4))</f>
        <v>4</v>
      </c>
      <c r="R49">
        <f t="shared" si="8"/>
        <v>52</v>
      </c>
      <c r="S49">
        <f>IF(OR(M49=0,W49=0),-A49,R49*100+D49+F49*0.5-A49*0.001)</f>
        <v>-15</v>
      </c>
      <c r="T49" t="str">
        <f>Treatments!M17</f>
        <v xml:space="preserve">Added  </v>
      </c>
      <c r="U49" t="s">
        <v>6</v>
      </c>
      <c r="V49">
        <f t="shared" si="9"/>
        <v>8</v>
      </c>
      <c r="W49">
        <f>IF(LEFT(Treatments!AD17,3)="Yes",1,0)</f>
        <v>1</v>
      </c>
      <c r="X49" t="str">
        <f>Treatments!AE17</f>
        <v>All crashes</v>
      </c>
      <c r="Y49">
        <f t="shared" si="10"/>
        <v>5</v>
      </c>
      <c r="Z49" t="str">
        <f>Treatments!AE17&amp;" / "&amp;Treatments!AF17</f>
        <v>All crashes / Only: Vehicle/bicycle</v>
      </c>
      <c r="AA49" t="e">
        <f>IF(Treatments!#REF!="","",Treatments!#REF!)</f>
        <v>#REF!</v>
      </c>
    </row>
    <row r="50" spans="1:27" hidden="1" x14ac:dyDescent="0.25">
      <c r="A50">
        <v>16</v>
      </c>
      <c r="B50" t="str">
        <f>Treatments!A18</f>
        <v>Convert Flush Buffered Bike Lane To SBL With A Blend Of Flexi-Post And Other Vertical Elements</v>
      </c>
      <c r="C50" t="str">
        <f>Treatments!B18</f>
        <v>CM: Bicycle Lanes</v>
      </c>
      <c r="D50">
        <f>Treatments!Q18</f>
        <v>43.3</v>
      </c>
      <c r="E50">
        <f>Treatments!P18</f>
        <v>0.56699999999999995</v>
      </c>
      <c r="F50">
        <f>IF(ISNUMBER(Treatments!N18),Treatments!N18,0)</f>
        <v>4</v>
      </c>
      <c r="G50" t="str">
        <f>IF(ISNUMBER(Treatments!U18),Treatments!U18,"")</f>
        <v/>
      </c>
      <c r="H50" t="str">
        <f>IF(ISNUMBER(Treatments!V18),Treatments!V18,"")</f>
        <v/>
      </c>
      <c r="I50" t="s">
        <v>49</v>
      </c>
      <c r="J50" t="s">
        <v>50</v>
      </c>
      <c r="K50" t="s">
        <v>6</v>
      </c>
      <c r="L50" t="s">
        <v>57</v>
      </c>
      <c r="M50">
        <f t="shared" si="5"/>
        <v>0</v>
      </c>
      <c r="N50">
        <f>IF(OR($C$4="Any",I50="All"),12,IF(ISNUMBER(SEARCH($C$4,I50)),12,0))</f>
        <v>12</v>
      </c>
      <c r="O50">
        <f t="shared" si="6"/>
        <v>13</v>
      </c>
      <c r="P50">
        <f t="shared" si="7"/>
        <v>10</v>
      </c>
      <c r="Q50">
        <f>IF($C$8="",4,IF(AND(ISNUMBER(G50),ISNUMBER(H50)),IF(AND($C$8&gt;=G50,$C$8&lt;=H50),7,0),4))</f>
        <v>4</v>
      </c>
      <c r="R50">
        <f t="shared" si="8"/>
        <v>52</v>
      </c>
      <c r="S50">
        <f>IF(OR(M50=0,W50=0),-A50,R50*100+D50+F50*0.5-A50*0.001)</f>
        <v>-16</v>
      </c>
      <c r="T50" t="str">
        <f>Treatments!M18</f>
        <v xml:space="preserve">Added  </v>
      </c>
      <c r="U50" t="s">
        <v>6</v>
      </c>
      <c r="V50">
        <f t="shared" si="9"/>
        <v>8</v>
      </c>
      <c r="W50">
        <f>IF(LEFT(Treatments!AD18,3)="Yes",1,0)</f>
        <v>1</v>
      </c>
      <c r="X50" t="str">
        <f>Treatments!AE18</f>
        <v>All crashes</v>
      </c>
      <c r="Y50">
        <f t="shared" si="10"/>
        <v>5</v>
      </c>
      <c r="Z50" t="str">
        <f>Treatments!AE18&amp;" / "&amp;Treatments!AF18</f>
        <v>All crashes / Only: Vehicle/bicycle</v>
      </c>
      <c r="AA50" t="e">
        <f>IF(Treatments!#REF!="","",Treatments!#REF!)</f>
        <v>#REF!</v>
      </c>
    </row>
    <row r="51" spans="1:27" hidden="1" x14ac:dyDescent="0.25">
      <c r="A51">
        <v>17</v>
      </c>
      <c r="B51" t="str">
        <f>Treatments!A19</f>
        <v>Install Bicycle Lanes</v>
      </c>
      <c r="C51" t="str">
        <f>Treatments!B19</f>
        <v>CM: Bicycle Lanes</v>
      </c>
      <c r="D51">
        <f>Treatments!Q19</f>
        <v>42.9</v>
      </c>
      <c r="E51">
        <f>Treatments!P19</f>
        <v>0.57099999999999995</v>
      </c>
      <c r="F51">
        <f>IF(ISNUMBER(Treatments!N19),Treatments!N19,0)</f>
        <v>4</v>
      </c>
      <c r="G51">
        <f>IF(ISNUMBER(Treatments!U19),Treatments!U19,"")</f>
        <v>2678</v>
      </c>
      <c r="H51">
        <f>IF(ISNUMBER(Treatments!V19),Treatments!V19,"")</f>
        <v>46640</v>
      </c>
      <c r="I51" t="s">
        <v>54</v>
      </c>
      <c r="J51" t="s">
        <v>50</v>
      </c>
      <c r="K51" t="s">
        <v>6</v>
      </c>
      <c r="L51" t="s">
        <v>58</v>
      </c>
      <c r="M51">
        <f t="shared" si="5"/>
        <v>18</v>
      </c>
      <c r="N51">
        <f>IF(OR($C$4="Any",I51="All"),12,IF(ISNUMBER(SEARCH($C$4,I51)),12,0))</f>
        <v>12</v>
      </c>
      <c r="O51">
        <f t="shared" si="6"/>
        <v>13</v>
      </c>
      <c r="P51">
        <f t="shared" si="7"/>
        <v>10</v>
      </c>
      <c r="Q51">
        <f>IF($C$8="",4,IF(AND(ISNUMBER(G51),ISNUMBER(H51)),IF(AND($C$8&gt;=G51,$C$8&lt;=H51),7,0),4))</f>
        <v>4</v>
      </c>
      <c r="R51">
        <f t="shared" si="8"/>
        <v>70</v>
      </c>
      <c r="S51">
        <f>IF(OR(M51=0,W51=0),-A51,R51*100+D51+F51*0.5-A51*0.001)</f>
        <v>7044.8829999999998</v>
      </c>
      <c r="T51" t="str">
        <f>Treatments!M19</f>
        <v xml:space="preserve">Added  </v>
      </c>
      <c r="U51" t="s">
        <v>6</v>
      </c>
      <c r="V51">
        <f t="shared" si="9"/>
        <v>8</v>
      </c>
      <c r="W51">
        <f>IF(LEFT(Treatments!AD19,3)="Yes",1,0)</f>
        <v>1</v>
      </c>
      <c r="X51" t="str">
        <f>Treatments!AE19</f>
        <v>Fatal &amp; injury only</v>
      </c>
      <c r="Y51">
        <f t="shared" si="10"/>
        <v>5</v>
      </c>
      <c r="Z51" t="str">
        <f>Treatments!AE19&amp;" / "&amp;Treatments!AF19</f>
        <v>Fatal &amp; injury only / All crash types</v>
      </c>
      <c r="AA51" t="e">
        <f>IF(Treatments!#REF!="","",Treatments!#REF!)</f>
        <v>#REF!</v>
      </c>
    </row>
    <row r="52" spans="1:27" hidden="1" x14ac:dyDescent="0.25">
      <c r="A52">
        <v>18</v>
      </c>
      <c r="B52" t="str">
        <f>Treatments!A20</f>
        <v>Install High-Visibility Crosswalk</v>
      </c>
      <c r="C52" t="str">
        <f>Treatments!B20</f>
        <v>CM: Crosswalk Visibility Enhancements</v>
      </c>
      <c r="D52">
        <f>Treatments!Q20</f>
        <v>40</v>
      </c>
      <c r="E52">
        <f>Treatments!P20</f>
        <v>0.6</v>
      </c>
      <c r="F52">
        <f>IF(ISNUMBER(Treatments!N20),Treatments!N20,0)</f>
        <v>2</v>
      </c>
      <c r="G52" t="str">
        <f>IF(ISNUMBER(Treatments!U20),Treatments!U20,"")</f>
        <v/>
      </c>
      <c r="H52" t="str">
        <f>IF(ISNUMBER(Treatments!V20),Treatments!V20,"")</f>
        <v/>
      </c>
      <c r="I52" t="s">
        <v>49</v>
      </c>
      <c r="J52" t="s">
        <v>6</v>
      </c>
      <c r="K52" t="s">
        <v>6</v>
      </c>
      <c r="L52" t="s">
        <v>60</v>
      </c>
      <c r="M52">
        <f t="shared" si="5"/>
        <v>0</v>
      </c>
      <c r="N52">
        <f>IF(OR($C$4="Any",I52="All"),12,IF(ISNUMBER(SEARCH($C$4,I52)),12,0))</f>
        <v>12</v>
      </c>
      <c r="O52">
        <f t="shared" si="6"/>
        <v>13</v>
      </c>
      <c r="P52">
        <f t="shared" si="7"/>
        <v>10</v>
      </c>
      <c r="Q52">
        <f>IF($C$8="",4,IF(AND(ISNUMBER(G52),ISNUMBER(H52)),IF(AND($C$8&gt;=G52,$C$8&lt;=H52),7,0),4))</f>
        <v>4</v>
      </c>
      <c r="R52">
        <f t="shared" si="8"/>
        <v>52</v>
      </c>
      <c r="S52">
        <f>IF(OR(M52=0,W52=0),-A52,R52*100+D52+F52*0.5-A52*0.001)</f>
        <v>-18</v>
      </c>
      <c r="T52" t="str">
        <f>Treatments!M20</f>
        <v xml:space="preserve">Original </v>
      </c>
      <c r="U52" t="s">
        <v>6</v>
      </c>
      <c r="V52">
        <f t="shared" si="9"/>
        <v>8</v>
      </c>
      <c r="W52">
        <f>IF(LEFT(Treatments!AD20,3)="Yes",1,0)</f>
        <v>1</v>
      </c>
      <c r="X52" t="str">
        <f>Treatments!AE20</f>
        <v>All crashes</v>
      </c>
      <c r="Y52">
        <f t="shared" si="10"/>
        <v>5</v>
      </c>
      <c r="Z52" t="str">
        <f>Treatments!AE20&amp;" / "&amp;Treatments!AF20</f>
        <v>All crashes / Only: Vehicle/pedestrian</v>
      </c>
      <c r="AA52" t="e">
        <f>IF(Treatments!#REF!="","",Treatments!#REF!)</f>
        <v>#REF!</v>
      </c>
    </row>
    <row r="53" spans="1:27" hidden="1" x14ac:dyDescent="0.25">
      <c r="A53">
        <v>19</v>
      </c>
      <c r="B53" t="str">
        <f>Treatments!A21</f>
        <v>Provide Intersection Illumination</v>
      </c>
      <c r="C53" t="str">
        <f>Treatments!B21</f>
        <v>CM: Crosswalk Visibility Enhancements</v>
      </c>
      <c r="D53">
        <f>Treatments!Q21</f>
        <v>42</v>
      </c>
      <c r="E53">
        <f>Treatments!P21</f>
        <v>0.57999999999999996</v>
      </c>
      <c r="F53">
        <f>IF(ISNUMBER(Treatments!N21),Treatments!N21,0)</f>
        <v>3</v>
      </c>
      <c r="G53" t="str">
        <f>IF(ISNUMBER(Treatments!U21),Treatments!U21,"")</f>
        <v/>
      </c>
      <c r="H53" t="str">
        <f>IF(ISNUMBER(Treatments!V21),Treatments!V21,"")</f>
        <v/>
      </c>
      <c r="I53" t="s">
        <v>54</v>
      </c>
      <c r="J53" t="s">
        <v>6</v>
      </c>
      <c r="K53" t="s">
        <v>6</v>
      </c>
      <c r="L53" t="s">
        <v>61</v>
      </c>
      <c r="M53">
        <f t="shared" si="5"/>
        <v>0</v>
      </c>
      <c r="N53">
        <f>IF(OR($C$4="Any",I53="All"),12,IF(ISNUMBER(SEARCH($C$4,I53)),12,0))</f>
        <v>12</v>
      </c>
      <c r="O53">
        <f t="shared" si="6"/>
        <v>13</v>
      </c>
      <c r="P53">
        <f t="shared" si="7"/>
        <v>10</v>
      </c>
      <c r="Q53">
        <f>IF($C$8="",4,IF(AND(ISNUMBER(G53),ISNUMBER(H53)),IF(AND($C$8&gt;=G53,$C$8&lt;=H53),7,0),4))</f>
        <v>4</v>
      </c>
      <c r="R53">
        <f t="shared" si="8"/>
        <v>52</v>
      </c>
      <c r="S53">
        <f>IF(OR(M53=0,W53=0),-A53,R53*100+D53+F53*0.5-A53*0.001)</f>
        <v>-19</v>
      </c>
      <c r="T53" t="str">
        <f>Treatments!M21</f>
        <v xml:space="preserve">Original </v>
      </c>
      <c r="U53" t="s">
        <v>6</v>
      </c>
      <c r="V53">
        <f t="shared" si="9"/>
        <v>8</v>
      </c>
      <c r="W53">
        <f>IF(LEFT(Treatments!AD21,3)="Yes",1,0)</f>
        <v>1</v>
      </c>
      <c r="X53" t="str">
        <f>Treatments!AE21</f>
        <v>Fatal &amp; injury only</v>
      </c>
      <c r="Y53">
        <f t="shared" si="10"/>
        <v>5</v>
      </c>
      <c r="Z53" t="str">
        <f>Treatments!AE21&amp;" / "&amp;Treatments!AF21</f>
        <v>Fatal &amp; injury only / Only: Nighttime,Vehicle/pedestrian</v>
      </c>
      <c r="AA53" t="e">
        <f>IF(Treatments!#REF!="","",Treatments!#REF!)</f>
        <v>#REF!</v>
      </c>
    </row>
    <row r="54" spans="1:27" hidden="1" x14ac:dyDescent="0.25">
      <c r="A54">
        <v>20</v>
      </c>
      <c r="B54" t="str">
        <f>Treatments!A22</f>
        <v>Install High-Visibility Yellow, Continental Type Crosswalks At Schools</v>
      </c>
      <c r="C54" t="str">
        <f>Treatments!B22</f>
        <v>CM: Crosswalk Visibility Enhancements</v>
      </c>
      <c r="D54">
        <f>Treatments!Q22</f>
        <v>37</v>
      </c>
      <c r="E54">
        <f>Treatments!P22</f>
        <v>0.63</v>
      </c>
      <c r="F54">
        <f>IF(ISNUMBER(Treatments!N22),Treatments!N22,0)</f>
        <v>4</v>
      </c>
      <c r="G54">
        <f>IF(ISNUMBER(Treatments!U22),Treatments!U22,"")</f>
        <v>567</v>
      </c>
      <c r="H54">
        <f>IF(ISNUMBER(Treatments!V22),Treatments!V22,"")</f>
        <v>43199</v>
      </c>
      <c r="I54" t="s">
        <v>49</v>
      </c>
      <c r="J54" t="s">
        <v>6</v>
      </c>
      <c r="K54" t="s">
        <v>6</v>
      </c>
      <c r="L54" t="s">
        <v>60</v>
      </c>
      <c r="M54">
        <f t="shared" si="5"/>
        <v>0</v>
      </c>
      <c r="N54">
        <f>IF(OR($C$4="Any",I54="All"),12,IF(ISNUMBER(SEARCH($C$4,I54)),12,0))</f>
        <v>12</v>
      </c>
      <c r="O54">
        <f t="shared" si="6"/>
        <v>13</v>
      </c>
      <c r="P54">
        <f t="shared" si="7"/>
        <v>10</v>
      </c>
      <c r="Q54">
        <f>IF($C$8="",4,IF(AND(ISNUMBER(G54),ISNUMBER(H54)),IF(AND($C$8&gt;=G54,$C$8&lt;=H54),7,0),4))</f>
        <v>4</v>
      </c>
      <c r="R54">
        <f t="shared" si="8"/>
        <v>52</v>
      </c>
      <c r="S54">
        <f>IF(OR(M54=0,W54=0),-A54,R54*100+D54+F54*0.5-A54*0.001)</f>
        <v>-20</v>
      </c>
      <c r="T54" t="str">
        <f>Treatments!M22</f>
        <v xml:space="preserve">Added  </v>
      </c>
      <c r="U54" t="s">
        <v>6</v>
      </c>
      <c r="V54">
        <f t="shared" si="9"/>
        <v>8</v>
      </c>
      <c r="W54">
        <f>IF(LEFT(Treatments!AD22,3)="Yes",1,0)</f>
        <v>1</v>
      </c>
      <c r="X54" t="str">
        <f>Treatments!AE22</f>
        <v>All crashes</v>
      </c>
      <c r="Y54">
        <f t="shared" si="10"/>
        <v>5</v>
      </c>
      <c r="Z54" t="str">
        <f>Treatments!AE22&amp;" / "&amp;Treatments!AF22</f>
        <v>All crashes / Only: Vehicle/pedestrian</v>
      </c>
      <c r="AA54" t="e">
        <f>IF(Treatments!#REF!="","",Treatments!#REF!)</f>
        <v>#REF!</v>
      </c>
    </row>
    <row r="55" spans="1:27" hidden="1" x14ac:dyDescent="0.25">
      <c r="A55">
        <v>21</v>
      </c>
      <c r="B55" t="str">
        <f>Treatments!A23</f>
        <v>Modify Signal Phasing (Implement A Leading Pedestrian Interval)</v>
      </c>
      <c r="C55" t="str">
        <f>Treatments!B23</f>
        <v>CM: Leading Pedestrian Interval</v>
      </c>
      <c r="D55">
        <f>Treatments!Q23</f>
        <v>13</v>
      </c>
      <c r="E55">
        <f>Treatments!P23</f>
        <v>0.87</v>
      </c>
      <c r="F55">
        <f>IF(ISNUMBER(Treatments!N23),Treatments!N23,0)</f>
        <v>5</v>
      </c>
      <c r="G55" t="str">
        <f>IF(ISNUMBER(Treatments!U23),Treatments!U23,"")</f>
        <v/>
      </c>
      <c r="H55" t="str">
        <f>IF(ISNUMBER(Treatments!V23),Treatments!V23,"")</f>
        <v/>
      </c>
      <c r="I55" t="s">
        <v>59</v>
      </c>
      <c r="J55" t="s">
        <v>62</v>
      </c>
      <c r="K55" t="s">
        <v>63</v>
      </c>
      <c r="L55" t="s">
        <v>60</v>
      </c>
      <c r="M55">
        <f t="shared" si="5"/>
        <v>0</v>
      </c>
      <c r="N55">
        <f>IF(OR($C$4="Any",I55="All"),12,IF(ISNUMBER(SEARCH($C$4,I55)),12,0))</f>
        <v>12</v>
      </c>
      <c r="O55">
        <f t="shared" si="6"/>
        <v>13</v>
      </c>
      <c r="P55">
        <f t="shared" si="7"/>
        <v>10</v>
      </c>
      <c r="Q55">
        <f>IF($C$8="",4,IF(AND(ISNUMBER(G55),ISNUMBER(H55)),IF(AND($C$8&gt;=G55,$C$8&lt;=H55),7,0),4))</f>
        <v>4</v>
      </c>
      <c r="R55">
        <f t="shared" si="8"/>
        <v>52</v>
      </c>
      <c r="S55">
        <f>IF(OR(M55=0,W55=0),-A55,R55*100+D55+F55*0.5-A55*0.001)</f>
        <v>-21</v>
      </c>
      <c r="T55" t="str">
        <f>Treatments!M23</f>
        <v xml:space="preserve">Original </v>
      </c>
      <c r="U55" t="s">
        <v>6</v>
      </c>
      <c r="V55">
        <f t="shared" si="9"/>
        <v>8</v>
      </c>
      <c r="W55">
        <f>IF(LEFT(Treatments!AD23,3)="Yes",1,0)</f>
        <v>1</v>
      </c>
      <c r="X55" t="str">
        <f>Treatments!AE23</f>
        <v>All crashes</v>
      </c>
      <c r="Y55">
        <f t="shared" si="10"/>
        <v>5</v>
      </c>
      <c r="Z55" t="str">
        <f>Treatments!AE23&amp;" / "&amp;Treatments!AF23</f>
        <v>All crashes / Only: Vehicle/pedestrian</v>
      </c>
      <c r="AA55" t="e">
        <f>IF(Treatments!#REF!="","",Treatments!#REF!)</f>
        <v>#REF!</v>
      </c>
    </row>
    <row r="56" spans="1:27" hidden="1" x14ac:dyDescent="0.25">
      <c r="A56">
        <v>22</v>
      </c>
      <c r="B56" t="str">
        <f>Treatments!A24</f>
        <v>Modify Signal Phasing (Implement A Leading Pedestrian Interval)</v>
      </c>
      <c r="C56" t="str">
        <f>Treatments!B24</f>
        <v>CM: Leading Pedestrian Interval</v>
      </c>
      <c r="D56">
        <f>Treatments!Q24</f>
        <v>19</v>
      </c>
      <c r="E56">
        <f>Treatments!P24</f>
        <v>0.81</v>
      </c>
      <c r="F56">
        <f>IF(ISNUMBER(Treatments!N24),Treatments!N24,0)</f>
        <v>5</v>
      </c>
      <c r="G56">
        <f>IF(ISNUMBER(Treatments!U24),Treatments!U24,"")</f>
        <v>6650</v>
      </c>
      <c r="H56">
        <f>IF(ISNUMBER(Treatments!V24),Treatments!V24,"")</f>
        <v>32363</v>
      </c>
      <c r="I56" t="s">
        <v>59</v>
      </c>
      <c r="J56" t="s">
        <v>62</v>
      </c>
      <c r="K56" t="s">
        <v>63</v>
      </c>
      <c r="L56" t="s">
        <v>60</v>
      </c>
      <c r="M56">
        <f t="shared" si="5"/>
        <v>0</v>
      </c>
      <c r="N56">
        <f>IF(OR($C$4="Any",I56="All"),12,IF(ISNUMBER(SEARCH($C$4,I56)),12,0))</f>
        <v>12</v>
      </c>
      <c r="O56">
        <f t="shared" si="6"/>
        <v>13</v>
      </c>
      <c r="P56">
        <f t="shared" si="7"/>
        <v>10</v>
      </c>
      <c r="Q56">
        <f>IF($C$8="",4,IF(AND(ISNUMBER(G56),ISNUMBER(H56)),IF(AND($C$8&gt;=G56,$C$8&lt;=H56),7,0),4))</f>
        <v>4</v>
      </c>
      <c r="R56">
        <f t="shared" si="8"/>
        <v>52</v>
      </c>
      <c r="S56">
        <f>IF(OR(M56=0,W56=0),-A56,R56*100+D56+F56*0.5-A56*0.001)</f>
        <v>-22</v>
      </c>
      <c r="T56" t="str">
        <f>Treatments!M24</f>
        <v xml:space="preserve">Added  </v>
      </c>
      <c r="U56" t="s">
        <v>6</v>
      </c>
      <c r="V56">
        <f t="shared" si="9"/>
        <v>8</v>
      </c>
      <c r="W56">
        <f>IF(LEFT(Treatments!AD24,3)="Yes",1,0)</f>
        <v>1</v>
      </c>
      <c r="X56" t="str">
        <f>Treatments!AE24</f>
        <v>All crashes</v>
      </c>
      <c r="Y56">
        <f t="shared" si="10"/>
        <v>5</v>
      </c>
      <c r="Z56" t="str">
        <f>Treatments!AE24&amp;" / "&amp;Treatments!AF24</f>
        <v>All crashes / Only: Vehicle/pedestrian</v>
      </c>
      <c r="AA56" t="e">
        <f>IF(Treatments!#REF!="","",Treatments!#REF!)</f>
        <v>#REF!</v>
      </c>
    </row>
    <row r="57" spans="1:27" hidden="1" x14ac:dyDescent="0.25">
      <c r="A57">
        <v>23</v>
      </c>
      <c r="B57" t="str">
        <f>Treatments!A25</f>
        <v>Install Raised Median With Marked Crosswalk (Uncontrolled)</v>
      </c>
      <c r="C57" t="str">
        <f>Treatments!B25</f>
        <v>CM: Medians and Pedestrian Refuge Islands in Urban and Suburban Areas</v>
      </c>
      <c r="D57">
        <f>Treatments!Q25</f>
        <v>46</v>
      </c>
      <c r="E57">
        <f>Treatments!P25</f>
        <v>0.54</v>
      </c>
      <c r="F57">
        <f>IF(ISNUMBER(Treatments!N25),Treatments!N25,0)</f>
        <v>3</v>
      </c>
      <c r="G57">
        <f>IF(ISNUMBER(Treatments!U25),Treatments!U25,"")</f>
        <v>15000</v>
      </c>
      <c r="H57" t="str">
        <f>IF(ISNUMBER(Treatments!V25),Treatments!V25,"")</f>
        <v/>
      </c>
      <c r="I57" t="s">
        <v>59</v>
      </c>
      <c r="J57" t="s">
        <v>64</v>
      </c>
      <c r="K57" t="s">
        <v>65</v>
      </c>
      <c r="L57" t="s">
        <v>66</v>
      </c>
      <c r="M57">
        <f t="shared" si="5"/>
        <v>0</v>
      </c>
      <c r="N57">
        <f>IF(OR($C$4="Any",I57="All"),12,IF(ISNUMBER(SEARCH($C$4,I57)),12,0))</f>
        <v>12</v>
      </c>
      <c r="O57">
        <f t="shared" si="6"/>
        <v>13</v>
      </c>
      <c r="P57">
        <f t="shared" si="7"/>
        <v>10</v>
      </c>
      <c r="Q57">
        <f>IF($C$8="",4,IF(AND(ISNUMBER(G57),ISNUMBER(H57)),IF(AND($C$8&gt;=G57,$C$8&lt;=H57),7,0),4))</f>
        <v>4</v>
      </c>
      <c r="R57">
        <f t="shared" si="8"/>
        <v>52</v>
      </c>
      <c r="S57">
        <f>IF(OR(M57=0,W57=0),-A57,R57*100+D57+F57*0.5-A57*0.001)</f>
        <v>-23</v>
      </c>
      <c r="T57" t="str">
        <f>Treatments!M25</f>
        <v xml:space="preserve">Original </v>
      </c>
      <c r="U57" t="s">
        <v>53</v>
      </c>
      <c r="V57">
        <f t="shared" si="9"/>
        <v>8</v>
      </c>
      <c r="W57">
        <f>IF(LEFT(Treatments!AD25,3)="Yes",1,0)</f>
        <v>1</v>
      </c>
      <c r="X57" t="str">
        <f>Treatments!AE25</f>
        <v>All crashes</v>
      </c>
      <c r="Y57">
        <f t="shared" si="10"/>
        <v>5</v>
      </c>
      <c r="Z57" t="str">
        <f>Treatments!AE25&amp;" / "&amp;Treatments!AF25</f>
        <v>All crashes / Only: Vehicle/pedestrian</v>
      </c>
      <c r="AA57" t="e">
        <f>IF(Treatments!#REF!="","",Treatments!#REF!)</f>
        <v>#REF!</v>
      </c>
    </row>
    <row r="58" spans="1:27" hidden="1" x14ac:dyDescent="0.25">
      <c r="A58">
        <v>24</v>
      </c>
      <c r="B58" t="str">
        <f>Treatments!A26</f>
        <v>Install Raised Median With Or Without Marked Crosswalk (Uncontrolled)</v>
      </c>
      <c r="C58" t="str">
        <f>Treatments!B26</f>
        <v>CM: Medians and Pedestrian Refuge Islands in Urban and Suburban Areas</v>
      </c>
      <c r="D58">
        <f>Treatments!Q26</f>
        <v>31.5</v>
      </c>
      <c r="E58">
        <f>Treatments!P26</f>
        <v>0.68500000000000005</v>
      </c>
      <c r="F58">
        <f>IF(ISNUMBER(Treatments!N26),Treatments!N26,0)</f>
        <v>4</v>
      </c>
      <c r="G58">
        <f>IF(ISNUMBER(Treatments!U26),Treatments!U26,"")</f>
        <v>1245</v>
      </c>
      <c r="H58">
        <f>IF(ISNUMBER(Treatments!V26),Treatments!V26,"")</f>
        <v>46000</v>
      </c>
      <c r="I58" t="s">
        <v>59</v>
      </c>
      <c r="J58" t="s">
        <v>64</v>
      </c>
      <c r="K58" t="s">
        <v>65</v>
      </c>
      <c r="L58" t="s">
        <v>66</v>
      </c>
      <c r="M58">
        <f t="shared" si="5"/>
        <v>0</v>
      </c>
      <c r="N58">
        <f>IF(OR($C$4="Any",I58="All"),12,IF(ISNUMBER(SEARCH($C$4,I58)),12,0))</f>
        <v>12</v>
      </c>
      <c r="O58">
        <f t="shared" si="6"/>
        <v>13</v>
      </c>
      <c r="P58">
        <f t="shared" si="7"/>
        <v>10</v>
      </c>
      <c r="Q58">
        <f>IF($C$8="",4,IF(AND(ISNUMBER(G58),ISNUMBER(H58)),IF(AND($C$8&gt;=G58,$C$8&lt;=H58),7,0),4))</f>
        <v>4</v>
      </c>
      <c r="R58">
        <f t="shared" si="8"/>
        <v>52</v>
      </c>
      <c r="S58">
        <f>IF(OR(M58=0,W58=0),-A58,R58*100+D58+F58*0.5-A58*0.001)</f>
        <v>-24</v>
      </c>
      <c r="T58" t="str">
        <f>Treatments!M26</f>
        <v xml:space="preserve">Added  </v>
      </c>
      <c r="U58" t="s">
        <v>53</v>
      </c>
      <c r="V58">
        <f t="shared" si="9"/>
        <v>8</v>
      </c>
      <c r="W58">
        <f>IF(LEFT(Treatments!AD26,3)="Yes",1,0)</f>
        <v>1</v>
      </c>
      <c r="X58" t="str">
        <f>Treatments!AE26</f>
        <v>All crashes</v>
      </c>
      <c r="Y58">
        <f t="shared" si="10"/>
        <v>5</v>
      </c>
      <c r="Z58" t="str">
        <f>Treatments!AE26&amp;" / "&amp;Treatments!AF26</f>
        <v>All crashes / Only: Vehicle/pedestrian</v>
      </c>
      <c r="AA58" t="e">
        <f>IF(Treatments!#REF!="","",Treatments!#REF!)</f>
        <v>#REF!</v>
      </c>
    </row>
    <row r="59" spans="1:27" hidden="1" x14ac:dyDescent="0.25">
      <c r="A59">
        <v>25</v>
      </c>
      <c r="B59" t="str">
        <f>Treatments!A27</f>
        <v>Install Raised Median</v>
      </c>
      <c r="C59" t="str">
        <f>Treatments!B27</f>
        <v>CM: Medians and Pedestrian Refuge Islands in Urban and Suburban Areas</v>
      </c>
      <c r="D59">
        <f>Treatments!Q27</f>
        <v>71</v>
      </c>
      <c r="E59">
        <f>Treatments!P27</f>
        <v>0.28999999999999998</v>
      </c>
      <c r="F59">
        <f>IF(ISNUMBER(Treatments!N27),Treatments!N27,0)</f>
        <v>4</v>
      </c>
      <c r="G59">
        <f>IF(ISNUMBER(Treatments!U27),Treatments!U27,"")</f>
        <v>1390</v>
      </c>
      <c r="H59">
        <f>IF(ISNUMBER(Treatments!V27),Treatments!V27,"")</f>
        <v>51200</v>
      </c>
      <c r="I59" t="s">
        <v>49</v>
      </c>
      <c r="J59" t="s">
        <v>64</v>
      </c>
      <c r="K59" t="s">
        <v>65</v>
      </c>
      <c r="L59" t="s">
        <v>67</v>
      </c>
      <c r="M59">
        <f t="shared" si="5"/>
        <v>18</v>
      </c>
      <c r="N59">
        <f>IF(OR($C$4="Any",I59="All"),12,IF(ISNUMBER(SEARCH($C$4,I59)),12,0))</f>
        <v>12</v>
      </c>
      <c r="O59">
        <f t="shared" si="6"/>
        <v>13</v>
      </c>
      <c r="P59">
        <f t="shared" si="7"/>
        <v>10</v>
      </c>
      <c r="Q59">
        <f>IF($C$8="",4,IF(AND(ISNUMBER(G59),ISNUMBER(H59)),IF(AND($C$8&gt;=G59,$C$8&lt;=H59),7,0),4))</f>
        <v>4</v>
      </c>
      <c r="R59">
        <f t="shared" si="8"/>
        <v>70</v>
      </c>
      <c r="S59">
        <f>IF(OR(M59=0,W59=0),-A59,R59*100+D59+F59*0.5-A59*0.001)</f>
        <v>7072.9750000000004</v>
      </c>
      <c r="T59" t="str">
        <f>Treatments!M27</f>
        <v xml:space="preserve">Added  </v>
      </c>
      <c r="U59" t="s">
        <v>53</v>
      </c>
      <c r="V59">
        <f t="shared" si="9"/>
        <v>8</v>
      </c>
      <c r="W59">
        <f>IF(LEFT(Treatments!AD27,3)="Yes",1,0)</f>
        <v>1</v>
      </c>
      <c r="X59" t="str">
        <f>Treatments!AE27</f>
        <v>All crashes</v>
      </c>
      <c r="Y59">
        <f t="shared" si="10"/>
        <v>5</v>
      </c>
      <c r="Z59" t="str">
        <f>Treatments!AE27&amp;" / "&amp;Treatments!AF27</f>
        <v>All crashes / All crash types</v>
      </c>
      <c r="AA59" t="e">
        <f>IF(Treatments!#REF!="","",Treatments!#REF!)</f>
        <v>#REF!</v>
      </c>
    </row>
    <row r="60" spans="1:27" hidden="1" x14ac:dyDescent="0.25">
      <c r="A60">
        <v>26</v>
      </c>
      <c r="B60" t="str">
        <f>Treatments!A28</f>
        <v>Install A Pedestrian Hybrid Beacon (Phb Or Hawk)</v>
      </c>
      <c r="C60" t="str">
        <f>Treatments!B28</f>
        <v>CM: Pedestrian Hybrid Beacons</v>
      </c>
      <c r="D60">
        <f>Treatments!Q28</f>
        <v>54.7</v>
      </c>
      <c r="E60">
        <f>Treatments!P28</f>
        <v>0.45300000000000001</v>
      </c>
      <c r="F60">
        <f>IF(ISNUMBER(Treatments!N28),Treatments!N28,0)</f>
        <v>3</v>
      </c>
      <c r="G60">
        <f>IF(ISNUMBER(Treatments!U28),Treatments!U28,"")</f>
        <v>6634</v>
      </c>
      <c r="H60">
        <f>IF(ISNUMBER(Treatments!V28),Treatments!V28,"")</f>
        <v>48791</v>
      </c>
      <c r="I60" t="s">
        <v>59</v>
      </c>
      <c r="J60" t="s">
        <v>64</v>
      </c>
      <c r="K60" t="s">
        <v>65</v>
      </c>
      <c r="L60" t="s">
        <v>66</v>
      </c>
      <c r="M60">
        <f t="shared" si="5"/>
        <v>0</v>
      </c>
      <c r="N60">
        <f>IF(OR($C$4="Any",I60="All"),12,IF(ISNUMBER(SEARCH($C$4,I60)),12,0))</f>
        <v>12</v>
      </c>
      <c r="O60">
        <f t="shared" si="6"/>
        <v>13</v>
      </c>
      <c r="P60">
        <f t="shared" si="7"/>
        <v>10</v>
      </c>
      <c r="Q60">
        <f>IF($C$8="",4,IF(AND(ISNUMBER(G60),ISNUMBER(H60)),IF(AND($C$8&gt;=G60,$C$8&lt;=H60),7,0),4))</f>
        <v>4</v>
      </c>
      <c r="R60">
        <f t="shared" si="8"/>
        <v>52</v>
      </c>
      <c r="S60">
        <f>IF(OR(M60=0,W60=0),-A60,R60*100+D60+F60*0.5-A60*0.001)</f>
        <v>-26</v>
      </c>
      <c r="T60" t="str">
        <f>Treatments!M28</f>
        <v xml:space="preserve">Original </v>
      </c>
      <c r="U60" t="s">
        <v>53</v>
      </c>
      <c r="V60">
        <f t="shared" si="9"/>
        <v>8</v>
      </c>
      <c r="W60">
        <f>IF(LEFT(Treatments!AD28,3)="Yes",1,0)</f>
        <v>1</v>
      </c>
      <c r="X60" t="str">
        <f>Treatments!AE28</f>
        <v>All crashes</v>
      </c>
      <c r="Y60">
        <f t="shared" si="10"/>
        <v>5</v>
      </c>
      <c r="Z60" t="str">
        <f>Treatments!AE28&amp;" / "&amp;Treatments!AF28</f>
        <v>All crashes / Only: Vehicle/pedestrian</v>
      </c>
      <c r="AA60" t="e">
        <f>IF(Treatments!#REF!="","",Treatments!#REF!)</f>
        <v>#REF!</v>
      </c>
    </row>
    <row r="61" spans="1:27" hidden="1" x14ac:dyDescent="0.25">
      <c r="A61">
        <v>27</v>
      </c>
      <c r="B61" t="str">
        <f>Treatments!A29</f>
        <v>Install Pedestrian Hybrid Beacon (PHB Or HAWK) With Advanced Yield Or Stop Markings And Signs</v>
      </c>
      <c r="C61" t="str">
        <f>Treatments!B29</f>
        <v>CM: Pedestrian Hybrid Beacons</v>
      </c>
      <c r="D61">
        <f>Treatments!Q29</f>
        <v>56.8</v>
      </c>
      <c r="E61">
        <f>Treatments!P29</f>
        <v>0.432</v>
      </c>
      <c r="F61">
        <f>IF(ISNUMBER(Treatments!N29),Treatments!N29,0)</f>
        <v>4</v>
      </c>
      <c r="G61">
        <f>IF(ISNUMBER(Treatments!U29),Treatments!U29,"")</f>
        <v>6634</v>
      </c>
      <c r="H61">
        <f>IF(ISNUMBER(Treatments!V29),Treatments!V29,"")</f>
        <v>48791</v>
      </c>
      <c r="I61" t="s">
        <v>59</v>
      </c>
      <c r="J61" t="s">
        <v>64</v>
      </c>
      <c r="K61" t="s">
        <v>65</v>
      </c>
      <c r="L61" t="s">
        <v>66</v>
      </c>
      <c r="M61">
        <f t="shared" si="5"/>
        <v>0</v>
      </c>
      <c r="N61">
        <f>IF(OR($C$4="Any",I61="All"),12,IF(ISNUMBER(SEARCH($C$4,I61)),12,0))</f>
        <v>12</v>
      </c>
      <c r="O61">
        <f t="shared" si="6"/>
        <v>13</v>
      </c>
      <c r="P61">
        <f t="shared" si="7"/>
        <v>10</v>
      </c>
      <c r="Q61">
        <f>IF($C$8="",4,IF(AND(ISNUMBER(G61),ISNUMBER(H61)),IF(AND($C$8&gt;=G61,$C$8&lt;=H61),7,0),4))</f>
        <v>4</v>
      </c>
      <c r="R61">
        <f t="shared" si="8"/>
        <v>52</v>
      </c>
      <c r="S61">
        <f>IF(OR(M61=0,W61=0),-A61,R61*100+D61+F61*0.5-A61*0.001)</f>
        <v>-27</v>
      </c>
      <c r="T61" t="str">
        <f>Treatments!M29</f>
        <v xml:space="preserve">Added  </v>
      </c>
      <c r="U61" t="s">
        <v>53</v>
      </c>
      <c r="V61">
        <f t="shared" si="9"/>
        <v>8</v>
      </c>
      <c r="W61">
        <f>IF(LEFT(Treatments!AD29,3)="Yes",1,0)</f>
        <v>1</v>
      </c>
      <c r="X61" t="str">
        <f>Treatments!AE29</f>
        <v>All crashes</v>
      </c>
      <c r="Y61">
        <f t="shared" si="10"/>
        <v>5</v>
      </c>
      <c r="Z61" t="str">
        <f>Treatments!AE29&amp;" / "&amp;Treatments!AF29</f>
        <v>All crashes / Only: Vehicle/pedestrian</v>
      </c>
      <c r="AA61" t="e">
        <f>IF(Treatments!#REF!="","",Treatments!#REF!)</f>
        <v>#REF!</v>
      </c>
    </row>
    <row r="62" spans="1:27" hidden="1" x14ac:dyDescent="0.25">
      <c r="A62">
        <v>28</v>
      </c>
      <c r="B62" t="str">
        <f>Treatments!A30</f>
        <v>Install A Pedestrian Hybrid Beacon (PHB Or HAWK)</v>
      </c>
      <c r="C62" t="str">
        <f>Treatments!B30</f>
        <v>CM: Pedestrian Hybrid Beacons</v>
      </c>
      <c r="D62">
        <f>Treatments!Q30</f>
        <v>45.7</v>
      </c>
      <c r="E62">
        <f>Treatments!P30</f>
        <v>0.54300000000000004</v>
      </c>
      <c r="F62">
        <f>IF(ISNUMBER(Treatments!N30),Treatments!N30,0)</f>
        <v>5</v>
      </c>
      <c r="G62">
        <f>IF(ISNUMBER(Treatments!U30),Treatments!U30,"")</f>
        <v>5400</v>
      </c>
      <c r="H62">
        <f>IF(ISNUMBER(Treatments!V30),Treatments!V30,"")</f>
        <v>47627</v>
      </c>
      <c r="I62" t="s">
        <v>59</v>
      </c>
      <c r="J62" t="s">
        <v>64</v>
      </c>
      <c r="K62" t="s">
        <v>65</v>
      </c>
      <c r="L62" t="s">
        <v>66</v>
      </c>
      <c r="M62">
        <f t="shared" si="5"/>
        <v>0</v>
      </c>
      <c r="N62">
        <f>IF(OR($C$4="Any",I62="All"),12,IF(ISNUMBER(SEARCH($C$4,I62)),12,0))</f>
        <v>12</v>
      </c>
      <c r="O62">
        <f t="shared" si="6"/>
        <v>13</v>
      </c>
      <c r="P62">
        <f t="shared" si="7"/>
        <v>10</v>
      </c>
      <c r="Q62">
        <f>IF($C$8="",4,IF(AND(ISNUMBER(G62),ISNUMBER(H62)),IF(AND($C$8&gt;=G62,$C$8&lt;=H62),7,0),4))</f>
        <v>4</v>
      </c>
      <c r="R62">
        <f t="shared" si="8"/>
        <v>52</v>
      </c>
      <c r="S62">
        <f>IF(OR(M62=0,W62=0),-A62,R62*100+D62+F62*0.5-A62*0.001)</f>
        <v>-28</v>
      </c>
      <c r="T62" t="str">
        <f>Treatments!M30</f>
        <v xml:space="preserve">Added  </v>
      </c>
      <c r="U62" t="s">
        <v>6</v>
      </c>
      <c r="V62">
        <f t="shared" si="9"/>
        <v>8</v>
      </c>
      <c r="W62">
        <f>IF(LEFT(Treatments!AD30,3)="Yes",1,0)</f>
        <v>1</v>
      </c>
      <c r="X62" t="str">
        <f>Treatments!AE30</f>
        <v>All crashes</v>
      </c>
      <c r="Y62">
        <f t="shared" si="10"/>
        <v>5</v>
      </c>
      <c r="Z62" t="str">
        <f>Treatments!AE30&amp;" / "&amp;Treatments!AF30</f>
        <v>All crashes / Only: Vehicle/pedestrian</v>
      </c>
      <c r="AA62" t="e">
        <f>IF(Treatments!#REF!="","",Treatments!#REF!)</f>
        <v>#REF!</v>
      </c>
    </row>
    <row r="63" spans="1:27" hidden="1" x14ac:dyDescent="0.25">
      <c r="A63">
        <v>29</v>
      </c>
      <c r="B63" t="str">
        <f>Treatments!A31</f>
        <v>Install Rectangular Rapid Flashing Beacon (Rrfb)</v>
      </c>
      <c r="C63" t="str">
        <f>Treatments!B31</f>
        <v>CM: Rectangular Rapid Flashing Beacons (RRFB)</v>
      </c>
      <c r="D63">
        <f>Treatments!Q31</f>
        <v>47.4</v>
      </c>
      <c r="E63">
        <f>Treatments!P31</f>
        <v>0.52600000000000002</v>
      </c>
      <c r="F63">
        <f>IF(ISNUMBER(Treatments!N31),Treatments!N31,0)</f>
        <v>3</v>
      </c>
      <c r="G63">
        <f>IF(ISNUMBER(Treatments!U31),Treatments!U31,"")</f>
        <v>533</v>
      </c>
      <c r="H63">
        <f>IF(ISNUMBER(Treatments!V31),Treatments!V31,"")</f>
        <v>49402</v>
      </c>
      <c r="I63" t="s">
        <v>59</v>
      </c>
      <c r="J63" t="s">
        <v>64</v>
      </c>
      <c r="K63" t="s">
        <v>65</v>
      </c>
      <c r="L63" t="s">
        <v>66</v>
      </c>
      <c r="M63">
        <f t="shared" si="5"/>
        <v>0</v>
      </c>
      <c r="N63">
        <f>IF(OR($C$4="Any",I63="All"),12,IF(ISNUMBER(SEARCH($C$4,I63)),12,0))</f>
        <v>12</v>
      </c>
      <c r="O63">
        <f t="shared" si="6"/>
        <v>13</v>
      </c>
      <c r="P63">
        <f t="shared" si="7"/>
        <v>10</v>
      </c>
      <c r="Q63">
        <f>IF($C$8="",4,IF(AND(ISNUMBER(G63),ISNUMBER(H63)),IF(AND($C$8&gt;=G63,$C$8&lt;=H63),7,0),4))</f>
        <v>4</v>
      </c>
      <c r="R63">
        <f t="shared" si="8"/>
        <v>52</v>
      </c>
      <c r="S63">
        <f>IF(OR(M63=0,W63=0),-A63,R63*100+D63+F63*0.5-A63*0.001)</f>
        <v>-29</v>
      </c>
      <c r="T63" t="str">
        <f>Treatments!M31</f>
        <v xml:space="preserve">Original </v>
      </c>
      <c r="U63" t="s">
        <v>53</v>
      </c>
      <c r="V63">
        <f t="shared" si="9"/>
        <v>8</v>
      </c>
      <c r="W63">
        <f>IF(LEFT(Treatments!AD31,3)="Yes",1,0)</f>
        <v>1</v>
      </c>
      <c r="X63" t="str">
        <f>Treatments!AE31</f>
        <v>All crashes</v>
      </c>
      <c r="Y63">
        <f t="shared" si="10"/>
        <v>5</v>
      </c>
      <c r="Z63" t="str">
        <f>Treatments!AE31&amp;" / "&amp;Treatments!AF31</f>
        <v>All crashes / Only: Vehicle/pedestrian</v>
      </c>
      <c r="AA63" t="e">
        <f>IF(Treatments!#REF!="","",Treatments!#REF!)</f>
        <v>#REF!</v>
      </c>
    </row>
    <row r="64" spans="1:27" hidden="1" x14ac:dyDescent="0.25">
      <c r="A64">
        <v>30</v>
      </c>
      <c r="B64" t="str">
        <f>Treatments!A32</f>
        <v>Install Rectangular Rapid Flashing Beacon (RRFB)</v>
      </c>
      <c r="C64" t="str">
        <f>Treatments!B32</f>
        <v>CM: Rectangular Rapid Flashing Beacons (RRFB)</v>
      </c>
      <c r="D64">
        <f>Treatments!Q32</f>
        <v>73</v>
      </c>
      <c r="E64">
        <f>Treatments!P32</f>
        <v>0.27</v>
      </c>
      <c r="F64">
        <f>IF(ISNUMBER(Treatments!N32),Treatments!N32,0)</f>
        <v>4</v>
      </c>
      <c r="G64" t="str">
        <f>IF(ISNUMBER(Treatments!U32),Treatments!U32,"")</f>
        <v/>
      </c>
      <c r="H64" t="str">
        <f>IF(ISNUMBER(Treatments!V32),Treatments!V32,"")</f>
        <v/>
      </c>
      <c r="I64" t="s">
        <v>54</v>
      </c>
      <c r="J64" t="s">
        <v>64</v>
      </c>
      <c r="K64" t="s">
        <v>65</v>
      </c>
      <c r="L64" t="s">
        <v>66</v>
      </c>
      <c r="M64">
        <f t="shared" si="5"/>
        <v>0</v>
      </c>
      <c r="N64">
        <f>IF(OR($C$4="Any",I64="All"),12,IF(ISNUMBER(SEARCH($C$4,I64)),12,0))</f>
        <v>12</v>
      </c>
      <c r="O64">
        <f t="shared" si="6"/>
        <v>13</v>
      </c>
      <c r="P64">
        <f t="shared" si="7"/>
        <v>10</v>
      </c>
      <c r="Q64">
        <f>IF($C$8="",4,IF(AND(ISNUMBER(G64),ISNUMBER(H64)),IF(AND($C$8&gt;=G64,$C$8&lt;=H64),7,0),4))</f>
        <v>4</v>
      </c>
      <c r="R64">
        <f t="shared" si="8"/>
        <v>52</v>
      </c>
      <c r="S64">
        <f>IF(OR(M64=0,W64=0),-A64,R64*100+D64+F64*0.5-A64*0.001)</f>
        <v>-30</v>
      </c>
      <c r="T64" t="str">
        <f>Treatments!M32</f>
        <v xml:space="preserve">Added  </v>
      </c>
      <c r="U64" t="s">
        <v>6</v>
      </c>
      <c r="V64">
        <f t="shared" si="9"/>
        <v>8</v>
      </c>
      <c r="W64">
        <f>IF(LEFT(Treatments!AD32,3)="Yes",1,0)</f>
        <v>1</v>
      </c>
      <c r="X64" t="str">
        <f>Treatments!AE32</f>
        <v>Fatal &amp; injury only</v>
      </c>
      <c r="Y64">
        <f t="shared" si="10"/>
        <v>5</v>
      </c>
      <c r="Z64" t="str">
        <f>Treatments!AE32&amp;" / "&amp;Treatments!AF32</f>
        <v>Fatal &amp; injury only / Only: Vehicle/pedestrian</v>
      </c>
      <c r="AA64" t="e">
        <f>IF(Treatments!#REF!="","",Treatments!#REF!)</f>
        <v>#REF!</v>
      </c>
    </row>
    <row r="65" spans="1:27" hidden="1" x14ac:dyDescent="0.25">
      <c r="A65">
        <v>31</v>
      </c>
      <c r="B65" t="str">
        <f>Treatments!A33</f>
        <v>Converting Four-Lane Roadways To Three-Lane Roadways With Center Turn Lane (Road Diet)</v>
      </c>
      <c r="C65" t="str">
        <f>Treatments!B33</f>
        <v>CM: Road Diets (Roadway Reconfiguration)</v>
      </c>
      <c r="D65">
        <f>Treatments!Q33</f>
        <v>18.8</v>
      </c>
      <c r="E65">
        <f>Treatments!P33</f>
        <v>0.81200000000000006</v>
      </c>
      <c r="F65">
        <f>IF(ISNUMBER(Treatments!N33),Treatments!N33,0)</f>
        <v>4</v>
      </c>
      <c r="G65">
        <f>IF(ISNUMBER(Treatments!U33),Treatments!U33,"")</f>
        <v>2030</v>
      </c>
      <c r="H65">
        <f>IF(ISNUMBER(Treatments!V33),Treatments!V33,"")</f>
        <v>15350</v>
      </c>
      <c r="I65" t="s">
        <v>49</v>
      </c>
      <c r="J65" t="s">
        <v>50</v>
      </c>
      <c r="K65" t="s">
        <v>6</v>
      </c>
      <c r="L65" t="s">
        <v>68</v>
      </c>
      <c r="M65">
        <f t="shared" si="5"/>
        <v>18</v>
      </c>
      <c r="N65">
        <f>IF(OR($C$4="Any",I65="All"),12,IF(ISNUMBER(SEARCH($C$4,I65)),12,0))</f>
        <v>12</v>
      </c>
      <c r="O65">
        <f t="shared" si="6"/>
        <v>13</v>
      </c>
      <c r="P65">
        <f t="shared" si="7"/>
        <v>10</v>
      </c>
      <c r="Q65">
        <f>IF($C$8="",4,IF(AND(ISNUMBER(G65),ISNUMBER(H65)),IF(AND($C$8&gt;=G65,$C$8&lt;=H65),7,0),4))</f>
        <v>4</v>
      </c>
      <c r="R65">
        <f t="shared" si="8"/>
        <v>70</v>
      </c>
      <c r="S65">
        <f>IF(OR(M65=0,W65=0),-A65,R65*100+D65+F65*0.5-A65*0.001)</f>
        <v>7020.7690000000002</v>
      </c>
      <c r="T65" t="str">
        <f>Treatments!M33</f>
        <v xml:space="preserve">Original </v>
      </c>
      <c r="U65" t="s">
        <v>6</v>
      </c>
      <c r="V65">
        <f t="shared" si="9"/>
        <v>8</v>
      </c>
      <c r="W65">
        <f>IF(LEFT(Treatments!AD33,3)="Yes",1,0)</f>
        <v>1</v>
      </c>
      <c r="X65" t="str">
        <f>Treatments!AE33</f>
        <v>All crashes</v>
      </c>
      <c r="Y65">
        <f t="shared" si="10"/>
        <v>5</v>
      </c>
      <c r="Z65" t="str">
        <f>Treatments!AE33&amp;" / "&amp;Treatments!AF33</f>
        <v>All crashes / All crash types</v>
      </c>
      <c r="AA65" t="e">
        <f>IF(Treatments!#REF!="","",Treatments!#REF!)</f>
        <v>#REF!</v>
      </c>
    </row>
    <row r="66" spans="1:27" hidden="1" x14ac:dyDescent="0.25">
      <c r="A66">
        <v>32</v>
      </c>
      <c r="B66" t="str">
        <f>Treatments!A34</f>
        <v>Road Diet (Convert 4-Lane Undivided Road To 2-Lanes Plus Turning Lane)</v>
      </c>
      <c r="C66" t="str">
        <f>Treatments!B34</f>
        <v>CM: Road Diets (Roadway Reconfiguration)</v>
      </c>
      <c r="D66">
        <f>Treatments!Q34</f>
        <v>38.700000000000003</v>
      </c>
      <c r="E66">
        <f>Treatments!P34</f>
        <v>0.61299999999999999</v>
      </c>
      <c r="F66">
        <f>IF(ISNUMBER(Treatments!N34),Treatments!N34,0)</f>
        <v>4</v>
      </c>
      <c r="G66">
        <f>IF(ISNUMBER(Treatments!U34),Treatments!U34,"")</f>
        <v>8333</v>
      </c>
      <c r="H66">
        <f>IF(ISNUMBER(Treatments!V34),Treatments!V34,"")</f>
        <v>13900</v>
      </c>
      <c r="I66" t="s">
        <v>49</v>
      </c>
      <c r="J66" t="s">
        <v>50</v>
      </c>
      <c r="K66" t="s">
        <v>6</v>
      </c>
      <c r="L66" t="s">
        <v>69</v>
      </c>
      <c r="M66">
        <f t="shared" si="5"/>
        <v>0</v>
      </c>
      <c r="N66">
        <f>IF(OR($C$4="Any",I66="All"),12,IF(ISNUMBER(SEARCH($C$4,I66)),12,0))</f>
        <v>12</v>
      </c>
      <c r="O66">
        <f t="shared" si="6"/>
        <v>13</v>
      </c>
      <c r="P66">
        <f t="shared" si="7"/>
        <v>10</v>
      </c>
      <c r="Q66">
        <f>IF($C$8="",4,IF(AND(ISNUMBER(G66),ISNUMBER(H66)),IF(AND($C$8&gt;=G66,$C$8&lt;=H66),7,0),4))</f>
        <v>4</v>
      </c>
      <c r="R66">
        <f t="shared" si="8"/>
        <v>52</v>
      </c>
      <c r="S66">
        <f>IF(OR(M66=0,W66=0),-A66,R66*100+D66+F66*0.5-A66*0.001)</f>
        <v>-32</v>
      </c>
      <c r="T66" t="str">
        <f>Treatments!M34</f>
        <v xml:space="preserve">Added  </v>
      </c>
      <c r="U66" t="s">
        <v>6</v>
      </c>
      <c r="V66">
        <f t="shared" si="9"/>
        <v>8</v>
      </c>
      <c r="W66">
        <f>IF(LEFT(Treatments!AD34,3)="Yes",1,0)</f>
        <v>1</v>
      </c>
      <c r="X66" t="str">
        <f>Treatments!AE34</f>
        <v>All crashes</v>
      </c>
      <c r="Y66">
        <f t="shared" si="10"/>
        <v>5</v>
      </c>
      <c r="Z66" t="str">
        <f>Treatments!AE34&amp;" / "&amp;Treatments!AF34</f>
        <v>All crashes / Only: Non-intersection</v>
      </c>
      <c r="AA66" t="e">
        <f>IF(Treatments!#REF!="","",Treatments!#REF!)</f>
        <v>#REF!</v>
      </c>
    </row>
    <row r="67" spans="1:27" hidden="1" x14ac:dyDescent="0.25">
      <c r="A67">
        <v>33</v>
      </c>
      <c r="B67" t="str">
        <f>Treatments!A35</f>
        <v>Converting Four-Lane Roadways To Three-Lane Roadways With Center Turn Lane (Road Diet)</v>
      </c>
      <c r="C67" t="str">
        <f>Treatments!B35</f>
        <v>CM: Road Diets (Roadway Reconfiguration)</v>
      </c>
      <c r="D67">
        <f>Treatments!Q35</f>
        <v>25.2</v>
      </c>
      <c r="E67">
        <f>Treatments!P35</f>
        <v>0.748</v>
      </c>
      <c r="F67">
        <f>IF(ISNUMBER(Treatments!N35),Treatments!N35,0)</f>
        <v>4</v>
      </c>
      <c r="G67">
        <f>IF(ISNUMBER(Treatments!U35),Treatments!U35,"")</f>
        <v>2030</v>
      </c>
      <c r="H67">
        <f>IF(ISNUMBER(Treatments!V35),Treatments!V35,"")</f>
        <v>15350</v>
      </c>
      <c r="I67" t="s">
        <v>49</v>
      </c>
      <c r="J67" t="s">
        <v>50</v>
      </c>
      <c r="K67" t="s">
        <v>6</v>
      </c>
      <c r="L67" t="s">
        <v>68</v>
      </c>
      <c r="M67">
        <f t="shared" ref="M67:M98" si="11">IF(ISNUMBER(SEARCH("|"&amp;$C$7&amp;"|",L67)),45,IF(ISNUMBER(SEARCH("|All|",L67)),18,0))</f>
        <v>18</v>
      </c>
      <c r="N67">
        <f>IF(OR($C$4="Any",I67="All"),12,IF(ISNUMBER(SEARCH($C$4,I67)),12,0))</f>
        <v>12</v>
      </c>
      <c r="O67">
        <f t="shared" ref="O67:O98" si="12">IF(OR($C$5="Any",J67="Any",J67=$C$5),13,0)</f>
        <v>13</v>
      </c>
      <c r="P67">
        <f t="shared" ref="P67:P98" si="13">IF(OR($C$6="Any",K67="Any",K67=$C$6),10,0)</f>
        <v>10</v>
      </c>
      <c r="Q67">
        <f>IF($C$8="",4,IF(AND(ISNUMBER(G67),ISNUMBER(H67)),IF(AND($C$8&gt;=G67,$C$8&lt;=H67),7,0),4))</f>
        <v>4</v>
      </c>
      <c r="R67">
        <f t="shared" ref="R67:R98" si="14">M67+N67+O67+P67+Q67+V67+Y67</f>
        <v>70</v>
      </c>
      <c r="S67">
        <f>IF(OR(M67=0,W67=0),-A67,R67*100+D67+F67*0.5-A67*0.001)</f>
        <v>7027.1669999999995</v>
      </c>
      <c r="T67" t="str">
        <f>Treatments!M35</f>
        <v xml:space="preserve">Added  </v>
      </c>
      <c r="U67" t="s">
        <v>6</v>
      </c>
      <c r="V67">
        <f t="shared" ref="V67:V98" si="15">IF(OR($C$11="Any",U67="Any",U67=$C$11),8,0)</f>
        <v>8</v>
      </c>
      <c r="W67">
        <f>IF(LEFT(Treatments!AD35,3)="Yes",1,0)</f>
        <v>1</v>
      </c>
      <c r="X67" t="str">
        <f>Treatments!AE35</f>
        <v>All crashes</v>
      </c>
      <c r="Y67">
        <f t="shared" ref="Y67:Y98" si="16">IF($C$12="Any",5,IF($C$12=X67,5,IF(AND($C$12="Fatal &amp; injury only",X67="All crashes"),3,0)))</f>
        <v>5</v>
      </c>
      <c r="Z67" t="str">
        <f>Treatments!AE35&amp;" / "&amp;Treatments!AF35</f>
        <v>All crashes / All crash types</v>
      </c>
      <c r="AA67" t="e">
        <f>IF(Treatments!#REF!="","",Treatments!#REF!)</f>
        <v>#REF!</v>
      </c>
    </row>
    <row r="68" spans="1:27" hidden="1" x14ac:dyDescent="0.25">
      <c r="A68">
        <v>34</v>
      </c>
      <c r="B68" t="str">
        <f>Treatments!A36</f>
        <v>Install Sidewalk</v>
      </c>
      <c r="C68" t="str">
        <f>Treatments!B36</f>
        <v>CM: Walkways</v>
      </c>
      <c r="D68">
        <f>Treatments!Q36</f>
        <v>40.200000000000003</v>
      </c>
      <c r="E68">
        <f>Treatments!P36</f>
        <v>0.59799999999999998</v>
      </c>
      <c r="F68">
        <f>IF(ISNUMBER(Treatments!N36),Treatments!N36,0)</f>
        <v>4</v>
      </c>
      <c r="G68" t="str">
        <f>IF(ISNUMBER(Treatments!U36),Treatments!U36,"")</f>
        <v/>
      </c>
      <c r="H68" t="str">
        <f>IF(ISNUMBER(Treatments!V36),Treatments!V36,"")</f>
        <v/>
      </c>
      <c r="I68" t="s">
        <v>54</v>
      </c>
      <c r="J68" t="s">
        <v>50</v>
      </c>
      <c r="K68" t="s">
        <v>6</v>
      </c>
      <c r="L68" t="s">
        <v>66</v>
      </c>
      <c r="M68">
        <f t="shared" si="11"/>
        <v>0</v>
      </c>
      <c r="N68">
        <f>IF(OR($C$4="Any",I68="All"),12,IF(ISNUMBER(SEARCH($C$4,I68)),12,0))</f>
        <v>12</v>
      </c>
      <c r="O68">
        <f t="shared" si="12"/>
        <v>13</v>
      </c>
      <c r="P68">
        <f t="shared" si="13"/>
        <v>10</v>
      </c>
      <c r="Q68">
        <f>IF($C$8="",4,IF(AND(ISNUMBER(G68),ISNUMBER(H68)),IF(AND($C$8&gt;=G68,$C$8&lt;=H68),7,0),4))</f>
        <v>4</v>
      </c>
      <c r="R68">
        <f t="shared" si="14"/>
        <v>52</v>
      </c>
      <c r="S68">
        <f>IF(OR(M68=0,W68=0),-A68,R68*100+D68+F68*0.5-A68*0.001)</f>
        <v>-34</v>
      </c>
      <c r="T68" t="str">
        <f>Treatments!M36</f>
        <v xml:space="preserve">Added  </v>
      </c>
      <c r="U68" t="s">
        <v>6</v>
      </c>
      <c r="V68">
        <f t="shared" si="15"/>
        <v>8</v>
      </c>
      <c r="W68">
        <f>IF(LEFT(Treatments!AD36,3)="Yes",1,0)</f>
        <v>1</v>
      </c>
      <c r="X68" t="str">
        <f>Treatments!AE36</f>
        <v>All crashes</v>
      </c>
      <c r="Y68">
        <f t="shared" si="16"/>
        <v>5</v>
      </c>
      <c r="Z68" t="str">
        <f>Treatments!AE36&amp;" / "&amp;Treatments!AF36</f>
        <v>All crashes / Only: Vehicle/pedestrian</v>
      </c>
      <c r="AA68" t="e">
        <f>IF(Treatments!#REF!="","",Treatments!#REF!)</f>
        <v>#REF!</v>
      </c>
    </row>
    <row r="69" spans="1:27" hidden="1" x14ac:dyDescent="0.25">
      <c r="A69">
        <v>35</v>
      </c>
      <c r="B69" t="str">
        <f>Treatments!A37</f>
        <v>Install Chevron Signs On Horizontal Curves</v>
      </c>
      <c r="C69" t="str">
        <f>Treatments!B37</f>
        <v>CM: Enhanced Delineation for Horizontal Curves</v>
      </c>
      <c r="D69">
        <f>Treatments!Q37</f>
        <v>25</v>
      </c>
      <c r="E69">
        <f>Treatments!P37</f>
        <v>0.75</v>
      </c>
      <c r="F69">
        <f>IF(ISNUMBER(Treatments!N37),Treatments!N37,0)</f>
        <v>5</v>
      </c>
      <c r="G69">
        <f>IF(ISNUMBER(Treatments!U37),Treatments!U37,"")</f>
        <v>261</v>
      </c>
      <c r="H69">
        <f>IF(ISNUMBER(Treatments!V37),Treatments!V37,"")</f>
        <v>14790</v>
      </c>
      <c r="I69" t="s">
        <v>55</v>
      </c>
      <c r="J69" t="s">
        <v>50</v>
      </c>
      <c r="K69" t="s">
        <v>6</v>
      </c>
      <c r="L69" t="s">
        <v>70</v>
      </c>
      <c r="M69">
        <f t="shared" si="11"/>
        <v>45</v>
      </c>
      <c r="N69">
        <f>IF(OR($C$4="Any",I69="All"),12,IF(ISNUMBER(SEARCH($C$4,I69)),12,0))</f>
        <v>12</v>
      </c>
      <c r="O69">
        <f t="shared" si="12"/>
        <v>13</v>
      </c>
      <c r="P69">
        <f t="shared" si="13"/>
        <v>10</v>
      </c>
      <c r="Q69">
        <f>IF($C$8="",4,IF(AND(ISNUMBER(G69),ISNUMBER(H69)),IF(AND($C$8&gt;=G69,$C$8&lt;=H69),7,0),4))</f>
        <v>4</v>
      </c>
      <c r="R69">
        <f t="shared" si="14"/>
        <v>97</v>
      </c>
      <c r="S69">
        <f>IF(OR(M69=0,W69=0),-A69,R69*100+D69+F69*0.5-A69*0.001)</f>
        <v>9727.4650000000001</v>
      </c>
      <c r="T69" t="str">
        <f>Treatments!M37</f>
        <v xml:space="preserve">Original </v>
      </c>
      <c r="U69" t="s">
        <v>6</v>
      </c>
      <c r="V69">
        <f t="shared" si="15"/>
        <v>8</v>
      </c>
      <c r="W69">
        <f>IF(LEFT(Treatments!AD37,3)="Yes",1,0)</f>
        <v>1</v>
      </c>
      <c r="X69" t="str">
        <f>Treatments!AE37</f>
        <v>All crashes</v>
      </c>
      <c r="Y69">
        <f t="shared" si="16"/>
        <v>5</v>
      </c>
      <c r="Z69" t="str">
        <f>Treatments!AE37&amp;" / "&amp;Treatments!AF37</f>
        <v>All crashes / Only: Nighttime,Non-intersection</v>
      </c>
      <c r="AA69" t="e">
        <f>IF(Treatments!#REF!="","",Treatments!#REF!)</f>
        <v>#REF!</v>
      </c>
    </row>
    <row r="70" spans="1:27" hidden="1" x14ac:dyDescent="0.25">
      <c r="A70">
        <v>36</v>
      </c>
      <c r="B70" t="str">
        <f>Treatments!A38</f>
        <v>Install Oversized Chevron Signs</v>
      </c>
      <c r="C70" t="str">
        <f>Treatments!B38</f>
        <v>CM: Enhanced Delineation for Horizontal Curves</v>
      </c>
      <c r="D70">
        <f>Treatments!Q38</f>
        <v>14.8</v>
      </c>
      <c r="E70">
        <f>Treatments!P38</f>
        <v>0.85199999999999998</v>
      </c>
      <c r="F70">
        <f>IF(ISNUMBER(Treatments!N38),Treatments!N38,0)</f>
        <v>3</v>
      </c>
      <c r="G70">
        <f>IF(ISNUMBER(Treatments!U38),Treatments!U38,"")</f>
        <v>173</v>
      </c>
      <c r="H70">
        <f>IF(ISNUMBER(Treatments!V38),Treatments!V38,"")</f>
        <v>27235</v>
      </c>
      <c r="I70" t="s">
        <v>54</v>
      </c>
      <c r="J70" t="s">
        <v>50</v>
      </c>
      <c r="K70" t="s">
        <v>6</v>
      </c>
      <c r="L70" t="s">
        <v>71</v>
      </c>
      <c r="M70">
        <f t="shared" si="11"/>
        <v>45</v>
      </c>
      <c r="N70">
        <f>IF(OR($C$4="Any",I70="All"),12,IF(ISNUMBER(SEARCH($C$4,I70)),12,0))</f>
        <v>12</v>
      </c>
      <c r="O70">
        <f t="shared" si="12"/>
        <v>13</v>
      </c>
      <c r="P70">
        <f t="shared" si="13"/>
        <v>10</v>
      </c>
      <c r="Q70">
        <f>IF($C$8="",4,IF(AND(ISNUMBER(G70),ISNUMBER(H70)),IF(AND($C$8&gt;=G70,$C$8&lt;=H70),7,0),4))</f>
        <v>4</v>
      </c>
      <c r="R70">
        <f t="shared" si="14"/>
        <v>97</v>
      </c>
      <c r="S70">
        <f>IF(OR(M70=0,W70=0),-A70,R70*100+D70+F70*0.5-A70*0.001)</f>
        <v>-36</v>
      </c>
      <c r="T70" t="str">
        <f>Treatments!M38</f>
        <v xml:space="preserve">Original </v>
      </c>
      <c r="U70" t="s">
        <v>6</v>
      </c>
      <c r="V70">
        <f t="shared" si="15"/>
        <v>8</v>
      </c>
      <c r="W70">
        <f>IF(LEFT(Treatments!AD38,3)="Yes",1,0)</f>
        <v>0</v>
      </c>
      <c r="X70" t="str">
        <f>Treatments!AE38</f>
        <v>Fatal &amp; injury only</v>
      </c>
      <c r="Y70">
        <f t="shared" si="16"/>
        <v>5</v>
      </c>
      <c r="Z70" t="str">
        <f>Treatments!AE38&amp;" / "&amp;Treatments!AF38</f>
        <v>Fatal &amp; injury only / All crash types</v>
      </c>
      <c r="AA70" t="e">
        <f>IF(Treatments!#REF!="","",Treatments!#REF!)</f>
        <v>#REF!</v>
      </c>
    </row>
    <row r="71" spans="1:27" hidden="1" x14ac:dyDescent="0.25">
      <c r="A71">
        <v>37</v>
      </c>
      <c r="B71" t="str">
        <f>Treatments!A39</f>
        <v>Install In-Lane Curve Warning Pavement Markings</v>
      </c>
      <c r="C71" t="str">
        <f>Treatments!B39</f>
        <v>CM: Enhanced Delineation for Horizontal Curves</v>
      </c>
      <c r="D71">
        <f>Treatments!Q39</f>
        <v>34.799999999999997</v>
      </c>
      <c r="E71">
        <f>Treatments!P39</f>
        <v>0.65200000000000002</v>
      </c>
      <c r="F71">
        <f>IF(ISNUMBER(Treatments!N39),Treatments!N39,0)</f>
        <v>5</v>
      </c>
      <c r="G71">
        <f>IF(ISNUMBER(Treatments!U39),Treatments!U39,"")</f>
        <v>100</v>
      </c>
      <c r="H71">
        <f>IF(ISNUMBER(Treatments!V39),Treatments!V39,"")</f>
        <v>15998</v>
      </c>
      <c r="I71" t="s">
        <v>55</v>
      </c>
      <c r="J71" t="s">
        <v>50</v>
      </c>
      <c r="K71" t="s">
        <v>6</v>
      </c>
      <c r="L71" t="s">
        <v>71</v>
      </c>
      <c r="M71">
        <f t="shared" si="11"/>
        <v>45</v>
      </c>
      <c r="N71">
        <f>IF(OR($C$4="Any",I71="All"),12,IF(ISNUMBER(SEARCH($C$4,I71)),12,0))</f>
        <v>12</v>
      </c>
      <c r="O71">
        <f t="shared" si="12"/>
        <v>13</v>
      </c>
      <c r="P71">
        <f t="shared" si="13"/>
        <v>10</v>
      </c>
      <c r="Q71">
        <f>IF($C$8="",4,IF(AND(ISNUMBER(G71),ISNUMBER(H71)),IF(AND($C$8&gt;=G71,$C$8&lt;=H71),7,0),4))</f>
        <v>4</v>
      </c>
      <c r="R71">
        <f t="shared" si="14"/>
        <v>97</v>
      </c>
      <c r="S71">
        <f>IF(OR(M71=0,W71=0),-A71,R71*100+D71+F71*0.5-A71*0.001)</f>
        <v>9737.262999999999</v>
      </c>
      <c r="T71" t="str">
        <f>Treatments!M39</f>
        <v xml:space="preserve">Original </v>
      </c>
      <c r="U71" t="s">
        <v>6</v>
      </c>
      <c r="V71">
        <f t="shared" si="15"/>
        <v>8</v>
      </c>
      <c r="W71">
        <f>IF(LEFT(Treatments!AD39,3)="Yes",1,0)</f>
        <v>1</v>
      </c>
      <c r="X71" t="str">
        <f>Treatments!AE39</f>
        <v>All crashes</v>
      </c>
      <c r="Y71">
        <f t="shared" si="16"/>
        <v>5</v>
      </c>
      <c r="Z71" t="str">
        <f>Treatments!AE39&amp;" / "&amp;Treatments!AF39</f>
        <v>All crashes / All crash types</v>
      </c>
      <c r="AA71" t="e">
        <f>IF(Treatments!#REF!="","",Treatments!#REF!)</f>
        <v>#REF!</v>
      </c>
    </row>
    <row r="72" spans="1:27" hidden="1" x14ac:dyDescent="0.25">
      <c r="A72">
        <v>38</v>
      </c>
      <c r="B72" t="str">
        <f>Treatments!A40</f>
        <v>Install Oversized Chevron Signs</v>
      </c>
      <c r="C72" t="str">
        <f>Treatments!B40</f>
        <v>CM: Enhanced Delineation for Horizontal Curves</v>
      </c>
      <c r="D72">
        <f>Treatments!Q40</f>
        <v>44</v>
      </c>
      <c r="E72">
        <f>Treatments!P40</f>
        <v>0.56000000000000005</v>
      </c>
      <c r="F72">
        <f>IF(ISNUMBER(Treatments!N40),Treatments!N40,0)</f>
        <v>4</v>
      </c>
      <c r="G72">
        <f>IF(ISNUMBER(Treatments!U40),Treatments!U40,"")</f>
        <v>173</v>
      </c>
      <c r="H72">
        <f>IF(ISNUMBER(Treatments!V40),Treatments!V40,"")</f>
        <v>27235</v>
      </c>
      <c r="I72" t="s">
        <v>54</v>
      </c>
      <c r="J72" t="s">
        <v>50</v>
      </c>
      <c r="K72" t="s">
        <v>6</v>
      </c>
      <c r="L72" t="s">
        <v>70</v>
      </c>
      <c r="M72">
        <f t="shared" si="11"/>
        <v>45</v>
      </c>
      <c r="N72">
        <f>IF(OR($C$4="Any",I72="All"),12,IF(ISNUMBER(SEARCH($C$4,I72)),12,0))</f>
        <v>12</v>
      </c>
      <c r="O72">
        <f t="shared" si="12"/>
        <v>13</v>
      </c>
      <c r="P72">
        <f t="shared" si="13"/>
        <v>10</v>
      </c>
      <c r="Q72">
        <f>IF($C$8="",4,IF(AND(ISNUMBER(G72),ISNUMBER(H72)),IF(AND($C$8&gt;=G72,$C$8&lt;=H72),7,0),4))</f>
        <v>4</v>
      </c>
      <c r="R72">
        <f t="shared" si="14"/>
        <v>97</v>
      </c>
      <c r="S72">
        <f>IF(OR(M72=0,W72=0),-A72,R72*100+D72+F72*0.5-A72*0.001)</f>
        <v>9745.9619999999995</v>
      </c>
      <c r="T72" t="str">
        <f>Treatments!M40</f>
        <v xml:space="preserve">Added  </v>
      </c>
      <c r="U72" t="s">
        <v>6</v>
      </c>
      <c r="V72">
        <f t="shared" si="15"/>
        <v>8</v>
      </c>
      <c r="W72">
        <f>IF(LEFT(Treatments!AD40,3)="Yes",1,0)</f>
        <v>1</v>
      </c>
      <c r="X72" t="str">
        <f>Treatments!AE40</f>
        <v>All crashes</v>
      </c>
      <c r="Y72">
        <f t="shared" si="16"/>
        <v>5</v>
      </c>
      <c r="Z72" t="str">
        <f>Treatments!AE40&amp;" / "&amp;Treatments!AF40</f>
        <v>All crashes / Only: Nighttime</v>
      </c>
      <c r="AA72" t="e">
        <f>IF(Treatments!#REF!="","",Treatments!#REF!)</f>
        <v>#REF!</v>
      </c>
    </row>
    <row r="73" spans="1:27" hidden="1" x14ac:dyDescent="0.25">
      <c r="A73">
        <v>39</v>
      </c>
      <c r="B73" t="str">
        <f>Treatments!A41</f>
        <v>Install In-Lane Curve Warning Pavement Markings</v>
      </c>
      <c r="C73" t="str">
        <f>Treatments!B41</f>
        <v>CM: Enhanced Delineation for Horizontal Curves</v>
      </c>
      <c r="D73">
        <f>Treatments!Q41</f>
        <v>38.4</v>
      </c>
      <c r="E73">
        <f>Treatments!P41</f>
        <v>0.61599999999999999</v>
      </c>
      <c r="F73">
        <f>IF(ISNUMBER(Treatments!N41),Treatments!N41,0)</f>
        <v>4</v>
      </c>
      <c r="G73">
        <f>IF(ISNUMBER(Treatments!U41),Treatments!U41,"")</f>
        <v>590</v>
      </c>
      <c r="H73">
        <f>IF(ISNUMBER(Treatments!V41),Treatments!V41,"")</f>
        <v>7600</v>
      </c>
      <c r="I73" t="s">
        <v>54</v>
      </c>
      <c r="J73" t="s">
        <v>50</v>
      </c>
      <c r="K73" t="s">
        <v>6</v>
      </c>
      <c r="L73" t="s">
        <v>71</v>
      </c>
      <c r="M73">
        <f t="shared" si="11"/>
        <v>45</v>
      </c>
      <c r="N73">
        <f>IF(OR($C$4="Any",I73="All"),12,IF(ISNUMBER(SEARCH($C$4,I73)),12,0))</f>
        <v>12</v>
      </c>
      <c r="O73">
        <f t="shared" si="12"/>
        <v>13</v>
      </c>
      <c r="P73">
        <f t="shared" si="13"/>
        <v>10</v>
      </c>
      <c r="Q73">
        <f>IF($C$8="",4,IF(AND(ISNUMBER(G73),ISNUMBER(H73)),IF(AND($C$8&gt;=G73,$C$8&lt;=H73),7,0),4))</f>
        <v>4</v>
      </c>
      <c r="R73">
        <f t="shared" si="14"/>
        <v>97</v>
      </c>
      <c r="S73">
        <f>IF(OR(M73=0,W73=0),-A73,R73*100+D73+F73*0.5-A73*0.001)</f>
        <v>9740.360999999999</v>
      </c>
      <c r="T73" t="str">
        <f>Treatments!M41</f>
        <v xml:space="preserve">Added  </v>
      </c>
      <c r="U73" t="s">
        <v>6</v>
      </c>
      <c r="V73">
        <f t="shared" si="15"/>
        <v>8</v>
      </c>
      <c r="W73">
        <f>IF(LEFT(Treatments!AD41,3)="Yes",1,0)</f>
        <v>1</v>
      </c>
      <c r="X73" t="str">
        <f>Treatments!AE41</f>
        <v>All crashes</v>
      </c>
      <c r="Y73">
        <f t="shared" si="16"/>
        <v>5</v>
      </c>
      <c r="Z73" t="str">
        <f>Treatments!AE41&amp;" / "&amp;Treatments!AF41</f>
        <v>All crashes / All crash types</v>
      </c>
      <c r="AA73" t="e">
        <f>IF(Treatments!#REF!="","",Treatments!#REF!)</f>
        <v>#REF!</v>
      </c>
    </row>
    <row r="74" spans="1:27" hidden="1" x14ac:dyDescent="0.25">
      <c r="A74">
        <v>40</v>
      </c>
      <c r="B74" t="str">
        <f>Treatments!A42</f>
        <v>Install New Fluorescent Curve Signs Or Upgrade Existing Curve Signs To Fluorescent Sheeting</v>
      </c>
      <c r="C74" t="str">
        <f>Treatments!B42</f>
        <v>CM: Enhanced Delineation for Horizontal Curves</v>
      </c>
      <c r="D74">
        <f>Treatments!Q42</f>
        <v>35</v>
      </c>
      <c r="E74">
        <f>Treatments!P42</f>
        <v>0.65</v>
      </c>
      <c r="F74">
        <f>IF(ISNUMBER(Treatments!N42),Treatments!N42,0)</f>
        <v>5</v>
      </c>
      <c r="G74">
        <f>IF(ISNUMBER(Treatments!U42),Treatments!U42,"")</f>
        <v>895</v>
      </c>
      <c r="H74">
        <f>IF(ISNUMBER(Treatments!V42),Treatments!V42,"")</f>
        <v>20479</v>
      </c>
      <c r="I74" t="s">
        <v>55</v>
      </c>
      <c r="J74" t="s">
        <v>50</v>
      </c>
      <c r="K74" t="s">
        <v>6</v>
      </c>
      <c r="L74" t="s">
        <v>70</v>
      </c>
      <c r="M74">
        <f t="shared" si="11"/>
        <v>45</v>
      </c>
      <c r="N74">
        <f>IF(OR($C$4="Any",I74="All"),12,IF(ISNUMBER(SEARCH($C$4,I74)),12,0))</f>
        <v>12</v>
      </c>
      <c r="O74">
        <f t="shared" si="12"/>
        <v>13</v>
      </c>
      <c r="P74">
        <f t="shared" si="13"/>
        <v>10</v>
      </c>
      <c r="Q74">
        <f>IF($C$8="",4,IF(AND(ISNUMBER(G74),ISNUMBER(H74)),IF(AND($C$8&gt;=G74,$C$8&lt;=H74),7,0),4))</f>
        <v>4</v>
      </c>
      <c r="R74">
        <f t="shared" si="14"/>
        <v>97</v>
      </c>
      <c r="S74">
        <f>IF(OR(M74=0,W74=0),-A74,R74*100+D74+F74*0.5-A74*0.001)</f>
        <v>9737.4599999999991</v>
      </c>
      <c r="T74" t="str">
        <f>Treatments!M42</f>
        <v xml:space="preserve">Added  </v>
      </c>
      <c r="U74" t="s">
        <v>6</v>
      </c>
      <c r="V74">
        <f t="shared" si="15"/>
        <v>8</v>
      </c>
      <c r="W74">
        <f>IF(LEFT(Treatments!AD42,3)="Yes",1,0)</f>
        <v>1</v>
      </c>
      <c r="X74" t="str">
        <f>Treatments!AE42</f>
        <v>All crashes</v>
      </c>
      <c r="Y74">
        <f t="shared" si="16"/>
        <v>5</v>
      </c>
      <c r="Z74" t="str">
        <f>Treatments!AE42&amp;" / "&amp;Treatments!AF42</f>
        <v>All crashes / Only: Nighttime,Non-intersection</v>
      </c>
      <c r="AA74" t="e">
        <f>IF(Treatments!#REF!="","",Treatments!#REF!)</f>
        <v>#REF!</v>
      </c>
    </row>
    <row r="75" spans="1:27" hidden="1" x14ac:dyDescent="0.25">
      <c r="A75">
        <v>41</v>
      </c>
      <c r="B75" t="str">
        <f>Treatments!A43</f>
        <v>Install Chevron Signs On Horizontal Curves</v>
      </c>
      <c r="C75" t="str">
        <f>Treatments!B43</f>
        <v>CM: Enhanced Delineation for Horizontal Curves</v>
      </c>
      <c r="D75">
        <f>Treatments!Q43</f>
        <v>22</v>
      </c>
      <c r="E75">
        <f>Treatments!P43</f>
        <v>0.78</v>
      </c>
      <c r="F75">
        <f>IF(ISNUMBER(Treatments!N43),Treatments!N43,0)</f>
        <v>5</v>
      </c>
      <c r="G75">
        <f>IF(ISNUMBER(Treatments!U43),Treatments!U43,"")</f>
        <v>261</v>
      </c>
      <c r="H75">
        <f>IF(ISNUMBER(Treatments!V43),Treatments!V43,"")</f>
        <v>14790</v>
      </c>
      <c r="I75" t="s">
        <v>55</v>
      </c>
      <c r="J75" t="s">
        <v>50</v>
      </c>
      <c r="K75" t="s">
        <v>6</v>
      </c>
      <c r="L75" t="s">
        <v>72</v>
      </c>
      <c r="M75">
        <f t="shared" si="11"/>
        <v>45</v>
      </c>
      <c r="N75">
        <f>IF(OR($C$4="Any",I75="All"),12,IF(ISNUMBER(SEARCH($C$4,I75)),12,0))</f>
        <v>12</v>
      </c>
      <c r="O75">
        <f t="shared" si="12"/>
        <v>13</v>
      </c>
      <c r="P75">
        <f t="shared" si="13"/>
        <v>10</v>
      </c>
      <c r="Q75">
        <f>IF($C$8="",4,IF(AND(ISNUMBER(G75),ISNUMBER(H75)),IF(AND($C$8&gt;=G75,$C$8&lt;=H75),7,0),4))</f>
        <v>4</v>
      </c>
      <c r="R75">
        <f t="shared" si="14"/>
        <v>97</v>
      </c>
      <c r="S75">
        <f>IF(OR(M75=0,W75=0),-A75,R75*100+D75+F75*0.5-A75*0.001)</f>
        <v>9724.4590000000007</v>
      </c>
      <c r="T75" t="str">
        <f>Treatments!M43</f>
        <v xml:space="preserve">Added  </v>
      </c>
      <c r="U75" t="s">
        <v>6</v>
      </c>
      <c r="V75">
        <f t="shared" si="15"/>
        <v>8</v>
      </c>
      <c r="W75">
        <f>IF(LEFT(Treatments!AD43,3)="Yes",1,0)</f>
        <v>1</v>
      </c>
      <c r="X75" t="str">
        <f>Treatments!AE43</f>
        <v>All crashes</v>
      </c>
      <c r="Y75">
        <f t="shared" si="16"/>
        <v>5</v>
      </c>
      <c r="Z75" t="str">
        <f>Treatments!AE43&amp;" / "&amp;Treatments!AF43</f>
        <v>All crashes / Only: Head on,Nighttime,Non-intersection,Run off road,Sideswipe</v>
      </c>
      <c r="AA75" t="e">
        <f>IF(Treatments!#REF!="","",Treatments!#REF!)</f>
        <v>#REF!</v>
      </c>
    </row>
    <row r="76" spans="1:27" hidden="1" x14ac:dyDescent="0.25">
      <c r="A76">
        <v>42</v>
      </c>
      <c r="B76" t="str">
        <f>Treatments!A44</f>
        <v>Install A Combination Of Chevron Signs, Curve Warning Signs, And/Or Sequential Flashing Beacons</v>
      </c>
      <c r="C76" t="str">
        <f>Treatments!B44</f>
        <v>CM: Enhanced Delineation for Horizontal Curves</v>
      </c>
      <c r="D76">
        <f>Treatments!Q44</f>
        <v>79</v>
      </c>
      <c r="E76">
        <f>Treatments!P44</f>
        <v>0.21</v>
      </c>
      <c r="F76">
        <f>IF(ISNUMBER(Treatments!N44),Treatments!N44,0)</f>
        <v>4</v>
      </c>
      <c r="G76">
        <f>IF(ISNUMBER(Treatments!U44),Treatments!U44,"")</f>
        <v>7400</v>
      </c>
      <c r="H76">
        <f>IF(ISNUMBER(Treatments!V44),Treatments!V44,"")</f>
        <v>13975</v>
      </c>
      <c r="I76" t="s">
        <v>54</v>
      </c>
      <c r="J76" t="s">
        <v>50</v>
      </c>
      <c r="K76" t="s">
        <v>6</v>
      </c>
      <c r="L76" t="s">
        <v>70</v>
      </c>
      <c r="M76">
        <f t="shared" si="11"/>
        <v>45</v>
      </c>
      <c r="N76">
        <f>IF(OR($C$4="Any",I76="All"),12,IF(ISNUMBER(SEARCH($C$4,I76)),12,0))</f>
        <v>12</v>
      </c>
      <c r="O76">
        <f t="shared" si="12"/>
        <v>13</v>
      </c>
      <c r="P76">
        <f t="shared" si="13"/>
        <v>10</v>
      </c>
      <c r="Q76">
        <f>IF($C$8="",4,IF(AND(ISNUMBER(G76),ISNUMBER(H76)),IF(AND($C$8&gt;=G76,$C$8&lt;=H76),7,0),4))</f>
        <v>4</v>
      </c>
      <c r="R76">
        <f t="shared" si="14"/>
        <v>97</v>
      </c>
      <c r="S76">
        <f>IF(OR(M76=0,W76=0),-A76,R76*100+D76+F76*0.5-A76*0.001)</f>
        <v>9780.9580000000005</v>
      </c>
      <c r="T76" t="str">
        <f>Treatments!M44</f>
        <v xml:space="preserve">Added  </v>
      </c>
      <c r="U76" t="s">
        <v>52</v>
      </c>
      <c r="V76">
        <f t="shared" si="15"/>
        <v>8</v>
      </c>
      <c r="W76">
        <f>IF(LEFT(Treatments!AD44,3)="Yes",1,0)</f>
        <v>1</v>
      </c>
      <c r="X76" t="str">
        <f>Treatments!AE44</f>
        <v>All crashes</v>
      </c>
      <c r="Y76">
        <f t="shared" si="16"/>
        <v>5</v>
      </c>
      <c r="Z76" t="str">
        <f>Treatments!AE44&amp;" / "&amp;Treatments!AF44</f>
        <v>All crashes / Only: Nighttime</v>
      </c>
      <c r="AA76" t="e">
        <f>IF(Treatments!#REF!="","",Treatments!#REF!)</f>
        <v>#REF!</v>
      </c>
    </row>
    <row r="77" spans="1:27" hidden="1" x14ac:dyDescent="0.25">
      <c r="A77">
        <v>43</v>
      </c>
      <c r="B77" t="str">
        <f>Treatments!A45</f>
        <v>Install Chevron Signs, Curve Warning Signs, And Sequential Flashing Beacons</v>
      </c>
      <c r="C77" t="str">
        <f>Treatments!B45</f>
        <v>CM: Enhanced Delineation for Horizontal Curves</v>
      </c>
      <c r="D77">
        <f>Treatments!Q45</f>
        <v>76.900000000000006</v>
      </c>
      <c r="E77">
        <f>Treatments!P45</f>
        <v>0.23100000000000001</v>
      </c>
      <c r="F77">
        <f>IF(ISNUMBER(Treatments!N45),Treatments!N45,0)</f>
        <v>4</v>
      </c>
      <c r="G77">
        <f>IF(ISNUMBER(Treatments!U45),Treatments!U45,"")</f>
        <v>7400</v>
      </c>
      <c r="H77">
        <f>IF(ISNUMBER(Treatments!V45),Treatments!V45,"")</f>
        <v>13975</v>
      </c>
      <c r="I77" t="s">
        <v>54</v>
      </c>
      <c r="J77" t="s">
        <v>50</v>
      </c>
      <c r="K77" t="s">
        <v>6</v>
      </c>
      <c r="L77" t="s">
        <v>70</v>
      </c>
      <c r="M77">
        <f t="shared" si="11"/>
        <v>45</v>
      </c>
      <c r="N77">
        <f>IF(OR($C$4="Any",I77="All"),12,IF(ISNUMBER(SEARCH($C$4,I77)),12,0))</f>
        <v>12</v>
      </c>
      <c r="O77">
        <f t="shared" si="12"/>
        <v>13</v>
      </c>
      <c r="P77">
        <f t="shared" si="13"/>
        <v>10</v>
      </c>
      <c r="Q77">
        <f>IF($C$8="",4,IF(AND(ISNUMBER(G77),ISNUMBER(H77)),IF(AND($C$8&gt;=G77,$C$8&lt;=H77),7,0),4))</f>
        <v>4</v>
      </c>
      <c r="R77">
        <f t="shared" si="14"/>
        <v>97</v>
      </c>
      <c r="S77">
        <f>IF(OR(M77=0,W77=0),-A77,R77*100+D77+F77*0.5-A77*0.001)</f>
        <v>9778.857</v>
      </c>
      <c r="T77" t="str">
        <f>Treatments!M45</f>
        <v xml:space="preserve">Added  </v>
      </c>
      <c r="U77" t="s">
        <v>52</v>
      </c>
      <c r="V77">
        <f t="shared" si="15"/>
        <v>8</v>
      </c>
      <c r="W77">
        <f>IF(LEFT(Treatments!AD45,3)="Yes",1,0)</f>
        <v>1</v>
      </c>
      <c r="X77" t="str">
        <f>Treatments!AE45</f>
        <v>All crashes</v>
      </c>
      <c r="Y77">
        <f t="shared" si="16"/>
        <v>5</v>
      </c>
      <c r="Z77" t="str">
        <f>Treatments!AE45&amp;" / "&amp;Treatments!AF45</f>
        <v>All crashes / Only: Nighttime</v>
      </c>
      <c r="AA77" t="e">
        <f>IF(Treatments!#REF!="","",Treatments!#REF!)</f>
        <v>#REF!</v>
      </c>
    </row>
    <row r="78" spans="1:27" hidden="1" x14ac:dyDescent="0.25">
      <c r="A78">
        <v>44</v>
      </c>
      <c r="B78" t="str">
        <f>Treatments!A46</f>
        <v>Install Centerline Rumble Strips</v>
      </c>
      <c r="C78" t="str">
        <f>Treatments!B46</f>
        <v>CM: Centerline Rumble Strips (Two-Lane Roads)</v>
      </c>
      <c r="D78">
        <f>Treatments!Q46</f>
        <v>44</v>
      </c>
      <c r="E78">
        <f>Treatments!P46</f>
        <v>0.56000000000000005</v>
      </c>
      <c r="F78">
        <f>IF(ISNUMBER(Treatments!N46),Treatments!N46,0)</f>
        <v>4</v>
      </c>
      <c r="G78">
        <f>IF(ISNUMBER(Treatments!U46),Treatments!U46,"")</f>
        <v>574</v>
      </c>
      <c r="H78">
        <f>IF(ISNUMBER(Treatments!V46),Treatments!V46,"")</f>
        <v>17591</v>
      </c>
      <c r="I78" t="s">
        <v>55</v>
      </c>
      <c r="J78" t="s">
        <v>50</v>
      </c>
      <c r="K78" t="s">
        <v>6</v>
      </c>
      <c r="L78" t="s">
        <v>73</v>
      </c>
      <c r="M78">
        <f t="shared" si="11"/>
        <v>45</v>
      </c>
      <c r="N78">
        <f>IF(OR($C$4="Any",I78="All"),12,IF(ISNUMBER(SEARCH($C$4,I78)),12,0))</f>
        <v>12</v>
      </c>
      <c r="O78">
        <f t="shared" si="12"/>
        <v>13</v>
      </c>
      <c r="P78">
        <f t="shared" si="13"/>
        <v>10</v>
      </c>
      <c r="Q78">
        <f>IF($C$8="",4,IF(AND(ISNUMBER(G78),ISNUMBER(H78)),IF(AND($C$8&gt;=G78,$C$8&lt;=H78),7,0),4))</f>
        <v>4</v>
      </c>
      <c r="R78">
        <f t="shared" si="14"/>
        <v>97</v>
      </c>
      <c r="S78">
        <f>IF(OR(M78=0,W78=0),-A78,R78*100+D78+F78*0.5-A78*0.001)</f>
        <v>9745.9560000000001</v>
      </c>
      <c r="T78" t="str">
        <f>Treatments!M46</f>
        <v xml:space="preserve">Original </v>
      </c>
      <c r="U78" t="s">
        <v>6</v>
      </c>
      <c r="V78">
        <f t="shared" si="15"/>
        <v>8</v>
      </c>
      <c r="W78">
        <f>IF(LEFT(Treatments!AD46,3)="Yes",1,0)</f>
        <v>1</v>
      </c>
      <c r="X78" t="str">
        <f>Treatments!AE46</f>
        <v>Fatal &amp; injury only</v>
      </c>
      <c r="Y78">
        <f t="shared" si="16"/>
        <v>5</v>
      </c>
      <c r="Z78" t="str">
        <f>Treatments!AE46&amp;" / "&amp;Treatments!AF46</f>
        <v>Fatal &amp; injury only / Only: Head on,Sideswipe</v>
      </c>
      <c r="AA78" t="e">
        <f>IF(Treatments!#REF!="","",Treatments!#REF!)</f>
        <v>#REF!</v>
      </c>
    </row>
    <row r="79" spans="1:27" hidden="1" x14ac:dyDescent="0.25">
      <c r="A79">
        <v>45</v>
      </c>
      <c r="B79" t="str">
        <f>Treatments!A47</f>
        <v>Install Shoulder Rumble Strips With An Offset Of 9-20 Inches Relative To The Edgeline</v>
      </c>
      <c r="C79" t="str">
        <f>Treatments!B47</f>
        <v>CM: Shoulder Rumble Strips</v>
      </c>
      <c r="D79">
        <f>Treatments!Q47</f>
        <v>51</v>
      </c>
      <c r="E79">
        <f>Treatments!P47</f>
        <v>0.49</v>
      </c>
      <c r="F79">
        <f>IF(ISNUMBER(Treatments!N47),Treatments!N47,0)</f>
        <v>3</v>
      </c>
      <c r="G79">
        <f>IF(ISNUMBER(Treatments!U47),Treatments!U47,"")</f>
        <v>11539</v>
      </c>
      <c r="H79">
        <f>IF(ISNUMBER(Treatments!V47),Treatments!V47,"")</f>
        <v>37112</v>
      </c>
      <c r="I79" t="s">
        <v>55</v>
      </c>
      <c r="J79" t="s">
        <v>50</v>
      </c>
      <c r="K79" t="s">
        <v>6</v>
      </c>
      <c r="L79" t="s">
        <v>74</v>
      </c>
      <c r="M79">
        <f t="shared" si="11"/>
        <v>45</v>
      </c>
      <c r="N79">
        <f>IF(OR($C$4="Any",I79="All"),12,IF(ISNUMBER(SEARCH($C$4,I79)),12,0))</f>
        <v>12</v>
      </c>
      <c r="O79">
        <f t="shared" si="12"/>
        <v>13</v>
      </c>
      <c r="P79">
        <f t="shared" si="13"/>
        <v>10</v>
      </c>
      <c r="Q79">
        <f>IF($C$8="",4,IF(AND(ISNUMBER(G79),ISNUMBER(H79)),IF(AND($C$8&gt;=G79,$C$8&lt;=H79),7,0),4))</f>
        <v>4</v>
      </c>
      <c r="R79">
        <f t="shared" si="14"/>
        <v>97</v>
      </c>
      <c r="S79">
        <f>IF(OR(M79=0,W79=0),-A79,R79*100+D79+F79*0.5-A79*0.001)</f>
        <v>-45</v>
      </c>
      <c r="T79" t="str">
        <f>Treatments!M47</f>
        <v xml:space="preserve">Original </v>
      </c>
      <c r="U79" t="s">
        <v>52</v>
      </c>
      <c r="V79">
        <f t="shared" si="15"/>
        <v>8</v>
      </c>
      <c r="W79">
        <f>IF(LEFT(Treatments!AD47,3)="Yes",1,0)</f>
        <v>0</v>
      </c>
      <c r="X79" t="str">
        <f>Treatments!AE47</f>
        <v>Fatal &amp; injury only</v>
      </c>
      <c r="Y79">
        <f t="shared" si="16"/>
        <v>5</v>
      </c>
      <c r="Z79" t="str">
        <f>Treatments!AE47&amp;" / "&amp;Treatments!AF47</f>
        <v>Fatal &amp; injury only / Only: Run off road</v>
      </c>
      <c r="AA79" t="e">
        <f>IF(Treatments!#REF!="","",Treatments!#REF!)</f>
        <v>#REF!</v>
      </c>
    </row>
    <row r="80" spans="1:27" hidden="1" x14ac:dyDescent="0.25">
      <c r="A80">
        <v>46</v>
      </c>
      <c r="B80" t="str">
        <f>Treatments!A48</f>
        <v>Install Shoulder Rumble Strips</v>
      </c>
      <c r="C80" t="str">
        <f>Treatments!B48</f>
        <v>CM: Shoulder Rumble Strips</v>
      </c>
      <c r="D80">
        <f>Treatments!Q48</f>
        <v>13</v>
      </c>
      <c r="E80">
        <f>Treatments!P48</f>
        <v>0.87</v>
      </c>
      <c r="F80">
        <f>IF(ISNUMBER(Treatments!N48),Treatments!N48,0)</f>
        <v>3</v>
      </c>
      <c r="G80">
        <f>IF(ISNUMBER(Treatments!U48),Treatments!U48,"")</f>
        <v>6777</v>
      </c>
      <c r="H80">
        <f>IF(ISNUMBER(Treatments!V48),Treatments!V48,"")</f>
        <v>24752</v>
      </c>
      <c r="I80" t="s">
        <v>55</v>
      </c>
      <c r="J80" t="s">
        <v>50</v>
      </c>
      <c r="K80" t="s">
        <v>6</v>
      </c>
      <c r="L80" t="s">
        <v>71</v>
      </c>
      <c r="M80">
        <f t="shared" si="11"/>
        <v>45</v>
      </c>
      <c r="N80">
        <f>IF(OR($C$4="Any",I80="All"),12,IF(ISNUMBER(SEARCH($C$4,I80)),12,0))</f>
        <v>12</v>
      </c>
      <c r="O80">
        <f t="shared" si="12"/>
        <v>13</v>
      </c>
      <c r="P80">
        <f t="shared" si="13"/>
        <v>10</v>
      </c>
      <c r="Q80">
        <f>IF($C$8="",4,IF(AND(ISNUMBER(G80),ISNUMBER(H80)),IF(AND($C$8&gt;=G80,$C$8&lt;=H80),7,0),4))</f>
        <v>4</v>
      </c>
      <c r="R80">
        <f t="shared" si="14"/>
        <v>97</v>
      </c>
      <c r="S80">
        <f>IF(OR(M80=0,W80=0),-A80,R80*100+D80+F80*0.5-A80*0.001)</f>
        <v>-46</v>
      </c>
      <c r="T80" t="str">
        <f>Treatments!M48</f>
        <v xml:space="preserve">Original </v>
      </c>
      <c r="U80" t="s">
        <v>52</v>
      </c>
      <c r="V80">
        <f t="shared" si="15"/>
        <v>8</v>
      </c>
      <c r="W80">
        <f>IF(LEFT(Treatments!AD48,3)="Yes",1,0)</f>
        <v>0</v>
      </c>
      <c r="X80" t="str">
        <f>Treatments!AE48</f>
        <v>Fatal &amp; injury only</v>
      </c>
      <c r="Y80">
        <f t="shared" si="16"/>
        <v>5</v>
      </c>
      <c r="Z80" t="str">
        <f>Treatments!AE48&amp;" / "&amp;Treatments!AF48</f>
        <v>Fatal &amp; injury only / All crash types</v>
      </c>
      <c r="AA80" t="e">
        <f>IF(Treatments!#REF!="","",Treatments!#REF!)</f>
        <v>#REF!</v>
      </c>
    </row>
    <row r="81" spans="1:27" hidden="1" x14ac:dyDescent="0.25">
      <c r="A81">
        <v>47</v>
      </c>
      <c r="B81" t="str">
        <f>Treatments!A49</f>
        <v>Install Sinusoidal Rumble Strip</v>
      </c>
      <c r="C81" t="str">
        <f>Treatments!B49</f>
        <v>CM: Centerline Rumble Strips (Two-Lane Roads)</v>
      </c>
      <c r="D81">
        <f>Treatments!Q49</f>
        <v>57</v>
      </c>
      <c r="E81">
        <f>Treatments!P49</f>
        <v>0.43</v>
      </c>
      <c r="F81">
        <f>IF(ISNUMBER(Treatments!N49),Treatments!N49,0)</f>
        <v>5</v>
      </c>
      <c r="G81" t="str">
        <f>IF(ISNUMBER(Treatments!U49),Treatments!U49,"")</f>
        <v/>
      </c>
      <c r="H81" t="str">
        <f>IF(ISNUMBER(Treatments!V49),Treatments!V49,"")</f>
        <v/>
      </c>
      <c r="I81" t="s">
        <v>54</v>
      </c>
      <c r="J81" t="s">
        <v>50</v>
      </c>
      <c r="K81" t="s">
        <v>6</v>
      </c>
      <c r="L81" t="s">
        <v>73</v>
      </c>
      <c r="M81">
        <f t="shared" si="11"/>
        <v>45</v>
      </c>
      <c r="N81">
        <f>IF(OR($C$4="Any",I81="All"),12,IF(ISNUMBER(SEARCH($C$4,I81)),12,0))</f>
        <v>12</v>
      </c>
      <c r="O81">
        <f t="shared" si="12"/>
        <v>13</v>
      </c>
      <c r="P81">
        <f t="shared" si="13"/>
        <v>10</v>
      </c>
      <c r="Q81">
        <f>IF($C$8="",4,IF(AND(ISNUMBER(G81),ISNUMBER(H81)),IF(AND($C$8&gt;=G81,$C$8&lt;=H81),7,0),4))</f>
        <v>4</v>
      </c>
      <c r="R81">
        <f t="shared" si="14"/>
        <v>97</v>
      </c>
      <c r="S81">
        <f>IF(OR(M81=0,W81=0),-A81,R81*100+D81+F81*0.5-A81*0.001)</f>
        <v>9759.4529999999995</v>
      </c>
      <c r="T81" t="str">
        <f>Treatments!M49</f>
        <v xml:space="preserve">Added  </v>
      </c>
      <c r="U81" t="s">
        <v>53</v>
      </c>
      <c r="V81">
        <f t="shared" si="15"/>
        <v>8</v>
      </c>
      <c r="W81">
        <f>IF(LEFT(Treatments!AD49,3)="Yes",1,0)</f>
        <v>1</v>
      </c>
      <c r="X81" t="str">
        <f>Treatments!AE49</f>
        <v>All crashes</v>
      </c>
      <c r="Y81">
        <f t="shared" si="16"/>
        <v>5</v>
      </c>
      <c r="Z81" t="str">
        <f>Treatments!AE49&amp;" / "&amp;Treatments!AF49</f>
        <v>All crashes / Only: Other</v>
      </c>
      <c r="AA81" t="e">
        <f>IF(Treatments!#REF!="","",Treatments!#REF!)</f>
        <v>#REF!</v>
      </c>
    </row>
    <row r="82" spans="1:27" hidden="1" x14ac:dyDescent="0.25">
      <c r="A82">
        <v>48</v>
      </c>
      <c r="B82" t="str">
        <f>Treatments!A50</f>
        <v>Install Centerline Rumble Strips</v>
      </c>
      <c r="C82" t="str">
        <f>Treatments!B50</f>
        <v>CM: Centerline Rumble Strips (Two-Lane Roads)</v>
      </c>
      <c r="D82">
        <f>Treatments!Q50</f>
        <v>49</v>
      </c>
      <c r="E82">
        <f>Treatments!P50</f>
        <v>0.51</v>
      </c>
      <c r="F82">
        <f>IF(ISNUMBER(Treatments!N50),Treatments!N50,0)</f>
        <v>5</v>
      </c>
      <c r="G82">
        <f>IF(ISNUMBER(Treatments!U50),Treatments!U50,"")</f>
        <v>1336</v>
      </c>
      <c r="H82">
        <f>IF(ISNUMBER(Treatments!V50),Treatments!V50,"")</f>
        <v>13240</v>
      </c>
      <c r="I82" t="s">
        <v>55</v>
      </c>
      <c r="J82" t="s">
        <v>50</v>
      </c>
      <c r="K82" t="s">
        <v>6</v>
      </c>
      <c r="L82" t="s">
        <v>73</v>
      </c>
      <c r="M82">
        <f t="shared" si="11"/>
        <v>45</v>
      </c>
      <c r="N82">
        <f>IF(OR($C$4="Any",I82="All"),12,IF(ISNUMBER(SEARCH($C$4,I82)),12,0))</f>
        <v>12</v>
      </c>
      <c r="O82">
        <f t="shared" si="12"/>
        <v>13</v>
      </c>
      <c r="P82">
        <f t="shared" si="13"/>
        <v>10</v>
      </c>
      <c r="Q82">
        <f>IF($C$8="",4,IF(AND(ISNUMBER(G82),ISNUMBER(H82)),IF(AND($C$8&gt;=G82,$C$8&lt;=H82),7,0),4))</f>
        <v>4</v>
      </c>
      <c r="R82">
        <f t="shared" si="14"/>
        <v>97</v>
      </c>
      <c r="S82">
        <f>IF(OR(M82=0,W82=0),-A82,R82*100+D82+F82*0.5-A82*0.001)</f>
        <v>9751.4519999999993</v>
      </c>
      <c r="T82" t="str">
        <f>Treatments!M50</f>
        <v xml:space="preserve">Added  </v>
      </c>
      <c r="U82" t="s">
        <v>6</v>
      </c>
      <c r="V82">
        <f t="shared" si="15"/>
        <v>8</v>
      </c>
      <c r="W82">
        <f>IF(LEFT(Treatments!AD50,3)="Yes",1,0)</f>
        <v>1</v>
      </c>
      <c r="X82" t="str">
        <f>Treatments!AE50</f>
        <v>All crashes</v>
      </c>
      <c r="Y82">
        <f t="shared" si="16"/>
        <v>5</v>
      </c>
      <c r="Z82" t="str">
        <f>Treatments!AE50&amp;" / "&amp;Treatments!AF50</f>
        <v>All crashes / Only: Head on,Sideswipe</v>
      </c>
      <c r="AA82" t="e">
        <f>IF(Treatments!#REF!="","",Treatments!#REF!)</f>
        <v>#REF!</v>
      </c>
    </row>
    <row r="83" spans="1:27" hidden="1" x14ac:dyDescent="0.25">
      <c r="A83">
        <v>49</v>
      </c>
      <c r="B83" t="str">
        <f>Treatments!A51</f>
        <v>Install Centerline Rumble Strips On Tangent Sections</v>
      </c>
      <c r="C83" t="str">
        <f>Treatments!B51</f>
        <v>CM: Centerline Rumble Strips (Two-Lane Roads)</v>
      </c>
      <c r="D83">
        <f>Treatments!Q51</f>
        <v>49</v>
      </c>
      <c r="E83">
        <f>Treatments!P51</f>
        <v>0.51</v>
      </c>
      <c r="F83">
        <f>IF(ISNUMBER(Treatments!N51),Treatments!N51,0)</f>
        <v>5</v>
      </c>
      <c r="G83">
        <f>IF(ISNUMBER(Treatments!U51),Treatments!U51,"")</f>
        <v>1336</v>
      </c>
      <c r="H83">
        <f>IF(ISNUMBER(Treatments!V51),Treatments!V51,"")</f>
        <v>13240</v>
      </c>
      <c r="I83" t="s">
        <v>55</v>
      </c>
      <c r="J83" t="s">
        <v>50</v>
      </c>
      <c r="K83" t="s">
        <v>6</v>
      </c>
      <c r="L83" t="s">
        <v>73</v>
      </c>
      <c r="M83">
        <f t="shared" si="11"/>
        <v>45</v>
      </c>
      <c r="N83">
        <f>IF(OR($C$4="Any",I83="All"),12,IF(ISNUMBER(SEARCH($C$4,I83)),12,0))</f>
        <v>12</v>
      </c>
      <c r="O83">
        <f t="shared" si="12"/>
        <v>13</v>
      </c>
      <c r="P83">
        <f t="shared" si="13"/>
        <v>10</v>
      </c>
      <c r="Q83">
        <f>IF($C$8="",4,IF(AND(ISNUMBER(G83),ISNUMBER(H83)),IF(AND($C$8&gt;=G83,$C$8&lt;=H83),7,0),4))</f>
        <v>4</v>
      </c>
      <c r="R83">
        <f t="shared" si="14"/>
        <v>97</v>
      </c>
      <c r="S83">
        <f>IF(OR(M83=0,W83=0),-A83,R83*100+D83+F83*0.5-A83*0.001)</f>
        <v>9751.4509999999991</v>
      </c>
      <c r="T83" t="str">
        <f>Treatments!M51</f>
        <v xml:space="preserve">Added  </v>
      </c>
      <c r="U83" t="s">
        <v>6</v>
      </c>
      <c r="V83">
        <f t="shared" si="15"/>
        <v>8</v>
      </c>
      <c r="W83">
        <f>IF(LEFT(Treatments!AD51,3)="Yes",1,0)</f>
        <v>1</v>
      </c>
      <c r="X83" t="str">
        <f>Treatments!AE51</f>
        <v>All crashes</v>
      </c>
      <c r="Y83">
        <f t="shared" si="16"/>
        <v>5</v>
      </c>
      <c r="Z83" t="str">
        <f>Treatments!AE51&amp;" / "&amp;Treatments!AF51</f>
        <v>All crashes / Only: Head on,Sideswipe</v>
      </c>
      <c r="AA83" t="e">
        <f>IF(Treatments!#REF!="","",Treatments!#REF!)</f>
        <v>#REF!</v>
      </c>
    </row>
    <row r="84" spans="1:27" hidden="1" x14ac:dyDescent="0.25">
      <c r="A84">
        <v>50</v>
      </c>
      <c r="B84" t="str">
        <f>Treatments!A52</f>
        <v>Install Centerline Rumble Strips On Horizontal Curves</v>
      </c>
      <c r="C84" t="str">
        <f>Treatments!B52</f>
        <v>CM: Centerline Rumble Strips (Two-Lane Roads)</v>
      </c>
      <c r="D84">
        <f>Treatments!Q52</f>
        <v>47</v>
      </c>
      <c r="E84">
        <f>Treatments!P52</f>
        <v>0.53</v>
      </c>
      <c r="F84">
        <f>IF(ISNUMBER(Treatments!N52),Treatments!N52,0)</f>
        <v>5</v>
      </c>
      <c r="G84">
        <f>IF(ISNUMBER(Treatments!U52),Treatments!U52,"")</f>
        <v>574</v>
      </c>
      <c r="H84">
        <f>IF(ISNUMBER(Treatments!V52),Treatments!V52,"")</f>
        <v>20784</v>
      </c>
      <c r="I84" t="s">
        <v>55</v>
      </c>
      <c r="J84" t="s">
        <v>50</v>
      </c>
      <c r="K84" t="s">
        <v>6</v>
      </c>
      <c r="L84" t="s">
        <v>73</v>
      </c>
      <c r="M84">
        <f t="shared" si="11"/>
        <v>45</v>
      </c>
      <c r="N84">
        <f>IF(OR($C$4="Any",I84="All"),12,IF(ISNUMBER(SEARCH($C$4,I84)),12,0))</f>
        <v>12</v>
      </c>
      <c r="O84">
        <f t="shared" si="12"/>
        <v>13</v>
      </c>
      <c r="P84">
        <f t="shared" si="13"/>
        <v>10</v>
      </c>
      <c r="Q84">
        <f>IF($C$8="",4,IF(AND(ISNUMBER(G84),ISNUMBER(H84)),IF(AND($C$8&gt;=G84,$C$8&lt;=H84),7,0),4))</f>
        <v>4</v>
      </c>
      <c r="R84">
        <f t="shared" si="14"/>
        <v>97</v>
      </c>
      <c r="S84">
        <f>IF(OR(M84=0,W84=0),-A84,R84*100+D84+F84*0.5-A84*0.001)</f>
        <v>9749.4500000000007</v>
      </c>
      <c r="T84" t="str">
        <f>Treatments!M52</f>
        <v xml:space="preserve">Added  </v>
      </c>
      <c r="U84" t="s">
        <v>6</v>
      </c>
      <c r="V84">
        <f t="shared" si="15"/>
        <v>8</v>
      </c>
      <c r="W84">
        <f>IF(LEFT(Treatments!AD52,3)="Yes",1,0)</f>
        <v>1</v>
      </c>
      <c r="X84" t="str">
        <f>Treatments!AE52</f>
        <v>All crashes</v>
      </c>
      <c r="Y84">
        <f t="shared" si="16"/>
        <v>5</v>
      </c>
      <c r="Z84" t="str">
        <f>Treatments!AE52&amp;" / "&amp;Treatments!AF52</f>
        <v>All crashes / Only: Head on,Sideswipe</v>
      </c>
      <c r="AA84" t="e">
        <f>IF(Treatments!#REF!="","",Treatments!#REF!)</f>
        <v>#REF!</v>
      </c>
    </row>
    <row r="85" spans="1:27" hidden="1" x14ac:dyDescent="0.25">
      <c r="A85">
        <v>51</v>
      </c>
      <c r="B85" t="str">
        <f>Treatments!A53</f>
        <v>Install Centerline And Shoulder Rumble Strips</v>
      </c>
      <c r="C85" t="str">
        <f>Treatments!B53</f>
        <v>CM: Shoulder Rumble Strips</v>
      </c>
      <c r="D85">
        <f>Treatments!Q53</f>
        <v>44.2</v>
      </c>
      <c r="E85">
        <f>Treatments!P53</f>
        <v>0.55800000000000005</v>
      </c>
      <c r="F85">
        <f>IF(ISNUMBER(Treatments!N53),Treatments!N53,0)</f>
        <v>5</v>
      </c>
      <c r="G85">
        <f>IF(ISNUMBER(Treatments!U53),Treatments!U53,"")</f>
        <v>154</v>
      </c>
      <c r="H85">
        <f>IF(ISNUMBER(Treatments!V53),Treatments!V53,"")</f>
        <v>15848</v>
      </c>
      <c r="I85" t="s">
        <v>55</v>
      </c>
      <c r="J85" t="s">
        <v>50</v>
      </c>
      <c r="K85" t="s">
        <v>6</v>
      </c>
      <c r="L85" t="s">
        <v>71</v>
      </c>
      <c r="M85">
        <f t="shared" si="11"/>
        <v>45</v>
      </c>
      <c r="N85">
        <f>IF(OR($C$4="Any",I85="All"),12,IF(ISNUMBER(SEARCH($C$4,I85)),12,0))</f>
        <v>12</v>
      </c>
      <c r="O85">
        <f t="shared" si="12"/>
        <v>13</v>
      </c>
      <c r="P85">
        <f t="shared" si="13"/>
        <v>10</v>
      </c>
      <c r="Q85">
        <f>IF($C$8="",4,IF(AND(ISNUMBER(G85),ISNUMBER(H85)),IF(AND($C$8&gt;=G85,$C$8&lt;=H85),7,0),4))</f>
        <v>4</v>
      </c>
      <c r="R85">
        <f t="shared" si="14"/>
        <v>97</v>
      </c>
      <c r="S85">
        <f>IF(OR(M85=0,W85=0),-A85,R85*100+D85+F85*0.5-A85*0.001)</f>
        <v>9746.6490000000013</v>
      </c>
      <c r="T85" t="str">
        <f>Treatments!M53</f>
        <v xml:space="preserve">Added  </v>
      </c>
      <c r="U85" t="s">
        <v>6</v>
      </c>
      <c r="V85">
        <f t="shared" si="15"/>
        <v>8</v>
      </c>
      <c r="W85">
        <f>IF(LEFT(Treatments!AD53,3)="Yes",1,0)</f>
        <v>1</v>
      </c>
      <c r="X85" t="str">
        <f>Treatments!AE53</f>
        <v>Fatal &amp; injury only</v>
      </c>
      <c r="Y85">
        <f t="shared" si="16"/>
        <v>5</v>
      </c>
      <c r="Z85" t="str">
        <f>Treatments!AE53&amp;" / "&amp;Treatments!AF53</f>
        <v>Fatal &amp; injury only / All crash types</v>
      </c>
      <c r="AA85" t="e">
        <f>IF(Treatments!#REF!="","",Treatments!#REF!)</f>
        <v>#REF!</v>
      </c>
    </row>
    <row r="86" spans="1:27" hidden="1" x14ac:dyDescent="0.25">
      <c r="A86">
        <v>52</v>
      </c>
      <c r="B86" t="str">
        <f>Treatments!A54</f>
        <v>Install Shoulder Rumble Strips</v>
      </c>
      <c r="C86" t="str">
        <f>Treatments!B54</f>
        <v>CM: Shoulder Rumble Strips</v>
      </c>
      <c r="D86">
        <f>Treatments!Q54</f>
        <v>42</v>
      </c>
      <c r="E86">
        <f>Treatments!P54</f>
        <v>0.57999999999999996</v>
      </c>
      <c r="F86">
        <f>IF(ISNUMBER(Treatments!N54),Treatments!N54,0)</f>
        <v>5</v>
      </c>
      <c r="G86">
        <f>IF(ISNUMBER(Treatments!U54),Treatments!U54,"")</f>
        <v>6777</v>
      </c>
      <c r="H86">
        <f>IF(ISNUMBER(Treatments!V54),Treatments!V54,"")</f>
        <v>37112</v>
      </c>
      <c r="I86" t="s">
        <v>55</v>
      </c>
      <c r="J86" t="s">
        <v>50</v>
      </c>
      <c r="K86" t="s">
        <v>6</v>
      </c>
      <c r="L86" t="s">
        <v>74</v>
      </c>
      <c r="M86">
        <f t="shared" si="11"/>
        <v>45</v>
      </c>
      <c r="N86">
        <f>IF(OR($C$4="Any",I86="All"),12,IF(ISNUMBER(SEARCH($C$4,I86)),12,0))</f>
        <v>12</v>
      </c>
      <c r="O86">
        <f t="shared" si="12"/>
        <v>13</v>
      </c>
      <c r="P86">
        <f t="shared" si="13"/>
        <v>10</v>
      </c>
      <c r="Q86">
        <f>IF($C$8="",4,IF(AND(ISNUMBER(G86),ISNUMBER(H86)),IF(AND($C$8&gt;=G86,$C$8&lt;=H86),7,0),4))</f>
        <v>4</v>
      </c>
      <c r="R86">
        <f t="shared" si="14"/>
        <v>97</v>
      </c>
      <c r="S86">
        <f>IF(OR(M86=0,W86=0),-A86,R86*100+D86+F86*0.5-A86*0.001)</f>
        <v>9744.4480000000003</v>
      </c>
      <c r="T86" t="str">
        <f>Treatments!M54</f>
        <v xml:space="preserve">Added  </v>
      </c>
      <c r="U86" t="s">
        <v>52</v>
      </c>
      <c r="V86">
        <f t="shared" si="15"/>
        <v>8</v>
      </c>
      <c r="W86">
        <f>IF(LEFT(Treatments!AD54,3)="Yes",1,0)</f>
        <v>1</v>
      </c>
      <c r="X86" t="str">
        <f>Treatments!AE54</f>
        <v>All crashes</v>
      </c>
      <c r="Y86">
        <f t="shared" si="16"/>
        <v>5</v>
      </c>
      <c r="Z86" t="str">
        <f>Treatments!AE54&amp;" / "&amp;Treatments!AF54</f>
        <v>All crashes / Only: Run off road,Truck related</v>
      </c>
      <c r="AA86" t="e">
        <f>IF(Treatments!#REF!="","",Treatments!#REF!)</f>
        <v>#REF!</v>
      </c>
    </row>
    <row r="87" spans="1:27" hidden="1" x14ac:dyDescent="0.25">
      <c r="A87">
        <v>53</v>
      </c>
      <c r="B87" t="str">
        <f>Treatments!A55</f>
        <v>Install Median Barrier</v>
      </c>
      <c r="C87" t="str">
        <f>Treatments!B55</f>
        <v>CM: Median Barriers</v>
      </c>
      <c r="D87">
        <f>Treatments!Q55</f>
        <v>97</v>
      </c>
      <c r="E87">
        <f>Treatments!P55</f>
        <v>0.03</v>
      </c>
      <c r="F87">
        <f>IF(ISNUMBER(Treatments!N55),Treatments!N55,0)</f>
        <v>3</v>
      </c>
      <c r="G87" t="str">
        <f>IF(ISNUMBER(Treatments!U55),Treatments!U55,"")</f>
        <v/>
      </c>
      <c r="H87" t="str">
        <f>IF(ISNUMBER(Treatments!V55),Treatments!V55,"")</f>
        <v/>
      </c>
      <c r="I87" t="s">
        <v>55</v>
      </c>
      <c r="J87" t="s">
        <v>50</v>
      </c>
      <c r="K87" t="s">
        <v>6</v>
      </c>
      <c r="L87" t="s">
        <v>73</v>
      </c>
      <c r="M87">
        <f t="shared" si="11"/>
        <v>45</v>
      </c>
      <c r="N87">
        <f>IF(OR($C$4="Any",I87="All"),12,IF(ISNUMBER(SEARCH($C$4,I87)),12,0))</f>
        <v>12</v>
      </c>
      <c r="O87">
        <f t="shared" si="12"/>
        <v>13</v>
      </c>
      <c r="P87">
        <f t="shared" si="13"/>
        <v>10</v>
      </c>
      <c r="Q87">
        <f>IF($C$8="",4,IF(AND(ISNUMBER(G87),ISNUMBER(H87)),IF(AND($C$8&gt;=G87,$C$8&lt;=H87),7,0),4))</f>
        <v>4</v>
      </c>
      <c r="R87">
        <f t="shared" si="14"/>
        <v>97</v>
      </c>
      <c r="S87">
        <f>IF(OR(M87=0,W87=0),-A87,R87*100+D87+F87*0.5-A87*0.001)</f>
        <v>9798.4470000000001</v>
      </c>
      <c r="T87" t="str">
        <f>Treatments!M55</f>
        <v xml:space="preserve">Original </v>
      </c>
      <c r="U87" t="s">
        <v>52</v>
      </c>
      <c r="V87">
        <f t="shared" si="15"/>
        <v>8</v>
      </c>
      <c r="W87">
        <f>IF(LEFT(Treatments!AD55,3)="Yes",1,0)</f>
        <v>1</v>
      </c>
      <c r="X87" t="str">
        <f>Treatments!AE55</f>
        <v>All crashes</v>
      </c>
      <c r="Y87">
        <f t="shared" si="16"/>
        <v>5</v>
      </c>
      <c r="Z87" t="str">
        <f>Treatments!AE55&amp;" / "&amp;Treatments!AF55</f>
        <v>All crashes / Only: Cross median</v>
      </c>
      <c r="AA87" t="e">
        <f>IF(Treatments!#REF!="","",Treatments!#REF!)</f>
        <v>#REF!</v>
      </c>
    </row>
    <row r="88" spans="1:27" hidden="1" x14ac:dyDescent="0.25">
      <c r="A88">
        <v>54</v>
      </c>
      <c r="B88" t="str">
        <f>Treatments!A56</f>
        <v>Install Cable Median Barrier (High Tension)</v>
      </c>
      <c r="C88" t="str">
        <f>Treatments!B56</f>
        <v>CM: Median Barriers</v>
      </c>
      <c r="D88">
        <f>Treatments!Q56</f>
        <v>53</v>
      </c>
      <c r="E88">
        <f>Treatments!P56</f>
        <v>0.47</v>
      </c>
      <c r="F88">
        <f>IF(ISNUMBER(Treatments!N56),Treatments!N56,0)</f>
        <v>4</v>
      </c>
      <c r="G88">
        <f>IF(ISNUMBER(Treatments!U56),Treatments!U56,"")</f>
        <v>1508</v>
      </c>
      <c r="H88">
        <f>IF(ISNUMBER(Treatments!V56),Treatments!V56,"")</f>
        <v>99850</v>
      </c>
      <c r="I88" t="s">
        <v>54</v>
      </c>
      <c r="J88" t="s">
        <v>50</v>
      </c>
      <c r="K88" t="s">
        <v>6</v>
      </c>
      <c r="L88" t="s">
        <v>73</v>
      </c>
      <c r="M88">
        <f t="shared" si="11"/>
        <v>45</v>
      </c>
      <c r="N88">
        <f>IF(OR($C$4="Any",I88="All"),12,IF(ISNUMBER(SEARCH($C$4,I88)),12,0))</f>
        <v>12</v>
      </c>
      <c r="O88">
        <f t="shared" si="12"/>
        <v>13</v>
      </c>
      <c r="P88">
        <f t="shared" si="13"/>
        <v>10</v>
      </c>
      <c r="Q88">
        <f>IF($C$8="",4,IF(AND(ISNUMBER(G88),ISNUMBER(H88)),IF(AND($C$8&gt;=G88,$C$8&lt;=H88),7,0),4))</f>
        <v>4</v>
      </c>
      <c r="R88">
        <f t="shared" si="14"/>
        <v>97</v>
      </c>
      <c r="S88">
        <f>IF(OR(M88=0,W88=0),-A88,R88*100+D88+F88*0.5-A88*0.001)</f>
        <v>9754.9459999999999</v>
      </c>
      <c r="T88" t="str">
        <f>Treatments!M56</f>
        <v xml:space="preserve">Added  </v>
      </c>
      <c r="U88" t="s">
        <v>52</v>
      </c>
      <c r="V88">
        <f t="shared" si="15"/>
        <v>8</v>
      </c>
      <c r="W88">
        <f>IF(LEFT(Treatments!AD56,3)="Yes",1,0)</f>
        <v>1</v>
      </c>
      <c r="X88" t="str">
        <f>Treatments!AE56</f>
        <v>Fatal &amp; injury only</v>
      </c>
      <c r="Y88">
        <f t="shared" si="16"/>
        <v>5</v>
      </c>
      <c r="Z88" t="str">
        <f>Treatments!AE56&amp;" / "&amp;Treatments!AF56</f>
        <v>Fatal &amp; injury only / Only: Other</v>
      </c>
      <c r="AA88" t="e">
        <f>IF(Treatments!#REF!="","",Treatments!#REF!)</f>
        <v>#REF!</v>
      </c>
    </row>
    <row r="89" spans="1:27" hidden="1" x14ac:dyDescent="0.25">
      <c r="A89">
        <v>55</v>
      </c>
      <c r="B89" t="str">
        <f>Treatments!A57</f>
        <v>Flatten Sideslope From 1V:3H To 1V:4H</v>
      </c>
      <c r="C89" t="str">
        <f>Treatments!B57</f>
        <v>CM: Roadside Design Improvements at Curves</v>
      </c>
      <c r="D89">
        <f>Treatments!Q57</f>
        <v>8</v>
      </c>
      <c r="E89">
        <f>Treatments!P57</f>
        <v>0.92</v>
      </c>
      <c r="F89">
        <f>IF(ISNUMBER(Treatments!N57),Treatments!N57,0)</f>
        <v>0</v>
      </c>
      <c r="G89" t="str">
        <f>IF(ISNUMBER(Treatments!U57),Treatments!U57,"")</f>
        <v/>
      </c>
      <c r="H89" t="str">
        <f>IF(ISNUMBER(Treatments!V57),Treatments!V57,"")</f>
        <v/>
      </c>
      <c r="I89" t="s">
        <v>55</v>
      </c>
      <c r="J89" t="s">
        <v>50</v>
      </c>
      <c r="K89" t="s">
        <v>6</v>
      </c>
      <c r="L89" t="s">
        <v>74</v>
      </c>
      <c r="M89">
        <f t="shared" si="11"/>
        <v>45</v>
      </c>
      <c r="N89">
        <f>IF(OR($C$4="Any",I89="All"),12,IF(ISNUMBER(SEARCH($C$4,I89)),12,0))</f>
        <v>12</v>
      </c>
      <c r="O89">
        <f t="shared" si="12"/>
        <v>13</v>
      </c>
      <c r="P89">
        <f t="shared" si="13"/>
        <v>10</v>
      </c>
      <c r="Q89">
        <f>IF($C$8="",4,IF(AND(ISNUMBER(G89),ISNUMBER(H89)),IF(AND($C$8&gt;=G89,$C$8&lt;=H89),7,0),4))</f>
        <v>4</v>
      </c>
      <c r="R89">
        <f t="shared" si="14"/>
        <v>97</v>
      </c>
      <c r="S89">
        <f>IF(OR(M89=0,W89=0),-A89,R89*100+D89+F89*0.5-A89*0.001)</f>
        <v>9707.9449999999997</v>
      </c>
      <c r="T89" t="str">
        <f>Treatments!M57</f>
        <v xml:space="preserve">Original </v>
      </c>
      <c r="U89" t="s">
        <v>53</v>
      </c>
      <c r="V89">
        <f t="shared" si="15"/>
        <v>8</v>
      </c>
      <c r="W89">
        <f>IF(LEFT(Treatments!AD57,3)="Yes",1,0)</f>
        <v>1</v>
      </c>
      <c r="X89" t="str">
        <f>Treatments!AE57</f>
        <v>Not reported</v>
      </c>
      <c r="Y89">
        <f t="shared" si="16"/>
        <v>5</v>
      </c>
      <c r="Z89" t="str">
        <f>Treatments!AE57&amp;" / "&amp;Treatments!AF57</f>
        <v>Not reported / Only: Single vehicle</v>
      </c>
      <c r="AA89" t="e">
        <f>IF(Treatments!#REF!="","",Treatments!#REF!)</f>
        <v>#REF!</v>
      </c>
    </row>
    <row r="90" spans="1:27" hidden="1" x14ac:dyDescent="0.25">
      <c r="A90">
        <v>56</v>
      </c>
      <c r="B90" t="str">
        <f>Treatments!A58</f>
        <v>Flatten Sideslope From 1V:4H To 1V:6H</v>
      </c>
      <c r="C90" t="str">
        <f>Treatments!B58</f>
        <v>CM: Roadside Design Improvements at Curves</v>
      </c>
      <c r="D90">
        <f>Treatments!Q58</f>
        <v>12</v>
      </c>
      <c r="E90">
        <f>Treatments!P58</f>
        <v>0.88</v>
      </c>
      <c r="F90">
        <f>IF(ISNUMBER(Treatments!N58),Treatments!N58,0)</f>
        <v>0</v>
      </c>
      <c r="G90" t="str">
        <f>IF(ISNUMBER(Treatments!U58),Treatments!U58,"")</f>
        <v/>
      </c>
      <c r="H90" t="str">
        <f>IF(ISNUMBER(Treatments!V58),Treatments!V58,"")</f>
        <v/>
      </c>
      <c r="I90" t="s">
        <v>55</v>
      </c>
      <c r="J90" t="s">
        <v>50</v>
      </c>
      <c r="K90" t="s">
        <v>6</v>
      </c>
      <c r="L90" t="s">
        <v>74</v>
      </c>
      <c r="M90">
        <f t="shared" si="11"/>
        <v>45</v>
      </c>
      <c r="N90">
        <f>IF(OR($C$4="Any",I90="All"),12,IF(ISNUMBER(SEARCH($C$4,I90)),12,0))</f>
        <v>12</v>
      </c>
      <c r="O90">
        <f t="shared" si="12"/>
        <v>13</v>
      </c>
      <c r="P90">
        <f t="shared" si="13"/>
        <v>10</v>
      </c>
      <c r="Q90">
        <f>IF($C$8="",4,IF(AND(ISNUMBER(G90),ISNUMBER(H90)),IF(AND($C$8&gt;=G90,$C$8&lt;=H90),7,0),4))</f>
        <v>4</v>
      </c>
      <c r="R90">
        <f t="shared" si="14"/>
        <v>97</v>
      </c>
      <c r="S90">
        <f>IF(OR(M90=0,W90=0),-A90,R90*100+D90+F90*0.5-A90*0.001)</f>
        <v>9711.9439999999995</v>
      </c>
      <c r="T90" t="str">
        <f>Treatments!M58</f>
        <v xml:space="preserve">Original </v>
      </c>
      <c r="U90" t="s">
        <v>53</v>
      </c>
      <c r="V90">
        <f t="shared" si="15"/>
        <v>8</v>
      </c>
      <c r="W90">
        <f>IF(LEFT(Treatments!AD58,3)="Yes",1,0)</f>
        <v>1</v>
      </c>
      <c r="X90" t="str">
        <f>Treatments!AE58</f>
        <v>Not reported</v>
      </c>
      <c r="Y90">
        <f t="shared" si="16"/>
        <v>5</v>
      </c>
      <c r="Z90" t="str">
        <f>Treatments!AE58&amp;" / "&amp;Treatments!AF58</f>
        <v>Not reported / Only: Single vehicle</v>
      </c>
      <c r="AA90" t="e">
        <f>IF(Treatments!#REF!="","",Treatments!#REF!)</f>
        <v>#REF!</v>
      </c>
    </row>
    <row r="91" spans="1:27" hidden="1" x14ac:dyDescent="0.25">
      <c r="A91">
        <v>57</v>
      </c>
      <c r="B91" t="str">
        <f>Treatments!A59</f>
        <v>Flatten Side Slopes</v>
      </c>
      <c r="C91" t="str">
        <f>Treatments!B59</f>
        <v>CM: Roadside Design Improvements at Curves</v>
      </c>
      <c r="D91">
        <f>Treatments!Q59</f>
        <v>14.2</v>
      </c>
      <c r="E91">
        <f>Treatments!P59</f>
        <v>0.85799999999999998</v>
      </c>
      <c r="F91">
        <f>IF(ISNUMBER(Treatments!N59),Treatments!N59,0)</f>
        <v>4</v>
      </c>
      <c r="G91" t="str">
        <f>IF(ISNUMBER(Treatments!U59),Treatments!U59,"")</f>
        <v/>
      </c>
      <c r="H91" t="str">
        <f>IF(ISNUMBER(Treatments!V59),Treatments!V59,"")</f>
        <v/>
      </c>
      <c r="I91" t="s">
        <v>55</v>
      </c>
      <c r="J91" t="s">
        <v>50</v>
      </c>
      <c r="K91" t="s">
        <v>6</v>
      </c>
      <c r="L91" t="s">
        <v>74</v>
      </c>
      <c r="M91">
        <f t="shared" si="11"/>
        <v>45</v>
      </c>
      <c r="N91">
        <f>IF(OR($C$4="Any",I91="All"),12,IF(ISNUMBER(SEARCH($C$4,I91)),12,0))</f>
        <v>12</v>
      </c>
      <c r="O91">
        <f t="shared" si="12"/>
        <v>13</v>
      </c>
      <c r="P91">
        <f t="shared" si="13"/>
        <v>10</v>
      </c>
      <c r="Q91">
        <f>IF($C$8="",4,IF(AND(ISNUMBER(G91),ISNUMBER(H91)),IF(AND($C$8&gt;=G91,$C$8&lt;=H91),7,0),4))</f>
        <v>4</v>
      </c>
      <c r="R91">
        <f t="shared" si="14"/>
        <v>97</v>
      </c>
      <c r="S91">
        <f>IF(OR(M91=0,W91=0),-A91,R91*100+D91+F91*0.5-A91*0.001)</f>
        <v>9716.143</v>
      </c>
      <c r="T91" t="str">
        <f>Treatments!M59</f>
        <v xml:space="preserve">Added  </v>
      </c>
      <c r="U91" t="s">
        <v>52</v>
      </c>
      <c r="V91">
        <f t="shared" si="15"/>
        <v>8</v>
      </c>
      <c r="W91">
        <f>IF(LEFT(Treatments!AD59,3)="Yes",1,0)</f>
        <v>1</v>
      </c>
      <c r="X91" t="str">
        <f>Treatments!AE59</f>
        <v>Fatal &amp; injury only</v>
      </c>
      <c r="Y91">
        <f t="shared" si="16"/>
        <v>5</v>
      </c>
      <c r="Z91" t="str">
        <f>Treatments!AE59&amp;" / "&amp;Treatments!AF59</f>
        <v>Fatal &amp; injury only / Only: Other</v>
      </c>
      <c r="AA91" t="e">
        <f>IF(Treatments!#REF!="","",Treatments!#REF!)</f>
        <v>#REF!</v>
      </c>
    </row>
    <row r="92" spans="1:27" hidden="1" x14ac:dyDescent="0.25">
      <c r="A92">
        <v>58</v>
      </c>
      <c r="B92" t="str">
        <f>Treatments!A60</f>
        <v>Install W-Beam Guardrail</v>
      </c>
      <c r="C92" t="str">
        <f>Treatments!B60</f>
        <v>CM: Roadside Barriers (Guardrail)</v>
      </c>
      <c r="D92">
        <f>Treatments!Q60</f>
        <v>47</v>
      </c>
      <c r="E92">
        <f>Treatments!P60</f>
        <v>0.53</v>
      </c>
      <c r="F92">
        <f>IF(ISNUMBER(Treatments!N60),Treatments!N60,0)</f>
        <v>4</v>
      </c>
      <c r="G92">
        <f>IF(ISNUMBER(Treatments!U60),Treatments!U60,"")</f>
        <v>35000</v>
      </c>
      <c r="H92">
        <f>IF(ISNUMBER(Treatments!V60),Treatments!V60,"")</f>
        <v>104600</v>
      </c>
      <c r="I92" t="s">
        <v>54</v>
      </c>
      <c r="J92" t="s">
        <v>50</v>
      </c>
      <c r="K92" t="s">
        <v>6</v>
      </c>
      <c r="L92" t="s">
        <v>70</v>
      </c>
      <c r="M92">
        <f t="shared" si="11"/>
        <v>45</v>
      </c>
      <c r="N92">
        <f>IF(OR($C$4="Any",I92="All"),12,IF(ISNUMBER(SEARCH($C$4,I92)),12,0))</f>
        <v>12</v>
      </c>
      <c r="O92">
        <f t="shared" si="12"/>
        <v>13</v>
      </c>
      <c r="P92">
        <f t="shared" si="13"/>
        <v>10</v>
      </c>
      <c r="Q92">
        <f>IF($C$8="",4,IF(AND(ISNUMBER(G92),ISNUMBER(H92)),IF(AND($C$8&gt;=G92,$C$8&lt;=H92),7,0),4))</f>
        <v>4</v>
      </c>
      <c r="R92">
        <f t="shared" si="14"/>
        <v>97</v>
      </c>
      <c r="S92">
        <f>IF(OR(M92=0,W92=0),-A92,R92*100+D92+F92*0.5-A92*0.001)</f>
        <v>9748.9419999999991</v>
      </c>
      <c r="T92" t="str">
        <f>Treatments!M60</f>
        <v xml:space="preserve">Added  </v>
      </c>
      <c r="U92" t="s">
        <v>52</v>
      </c>
      <c r="V92">
        <f t="shared" si="15"/>
        <v>8</v>
      </c>
      <c r="W92">
        <f>IF(LEFT(Treatments!AD60,3)="Yes",1,0)</f>
        <v>1</v>
      </c>
      <c r="X92" t="str">
        <f>Treatments!AE60</f>
        <v>Fatal &amp; injury only</v>
      </c>
      <c r="Y92">
        <f t="shared" si="16"/>
        <v>5</v>
      </c>
      <c r="Z92" t="str">
        <f>Treatments!AE60&amp;" / "&amp;Treatments!AF60</f>
        <v>Fatal &amp; injury only / Only: Nighttime,Run off road</v>
      </c>
      <c r="AA92" t="e">
        <f>IF(Treatments!#REF!="","",Treatments!#REF!)</f>
        <v>#REF!</v>
      </c>
    </row>
    <row r="93" spans="1:27" hidden="1" x14ac:dyDescent="0.25">
      <c r="A93">
        <v>59</v>
      </c>
      <c r="B93" t="str">
        <f>Treatments!A61</f>
        <v>Install W-Beam Guardrail Or Concrete Barrier</v>
      </c>
      <c r="C93" t="str">
        <f>Treatments!B61</f>
        <v>CM: Roadside Barriers (Guardrail)</v>
      </c>
      <c r="D93">
        <f>Treatments!Q61</f>
        <v>40</v>
      </c>
      <c r="E93">
        <f>Treatments!P61</f>
        <v>0.6</v>
      </c>
      <c r="F93">
        <f>IF(ISNUMBER(Treatments!N61),Treatments!N61,0)</f>
        <v>4</v>
      </c>
      <c r="G93">
        <f>IF(ISNUMBER(Treatments!U61),Treatments!U61,"")</f>
        <v>35000</v>
      </c>
      <c r="H93">
        <f>IF(ISNUMBER(Treatments!V61),Treatments!V61,"")</f>
        <v>104600</v>
      </c>
      <c r="I93" t="s">
        <v>54</v>
      </c>
      <c r="J93" t="s">
        <v>50</v>
      </c>
      <c r="K93" t="s">
        <v>6</v>
      </c>
      <c r="L93" t="s">
        <v>70</v>
      </c>
      <c r="M93">
        <f t="shared" si="11"/>
        <v>45</v>
      </c>
      <c r="N93">
        <f>IF(OR($C$4="Any",I93="All"),12,IF(ISNUMBER(SEARCH($C$4,I93)),12,0))</f>
        <v>12</v>
      </c>
      <c r="O93">
        <f t="shared" si="12"/>
        <v>13</v>
      </c>
      <c r="P93">
        <f t="shared" si="13"/>
        <v>10</v>
      </c>
      <c r="Q93">
        <f>IF($C$8="",4,IF(AND(ISNUMBER(G93),ISNUMBER(H93)),IF(AND($C$8&gt;=G93,$C$8&lt;=H93),7,0),4))</f>
        <v>4</v>
      </c>
      <c r="R93">
        <f t="shared" si="14"/>
        <v>97</v>
      </c>
      <c r="S93">
        <f>IF(OR(M93=0,W93=0),-A93,R93*100+D93+F93*0.5-A93*0.001)</f>
        <v>9741.9410000000007</v>
      </c>
      <c r="T93" t="str">
        <f>Treatments!M61</f>
        <v xml:space="preserve">Added  </v>
      </c>
      <c r="U93" t="s">
        <v>52</v>
      </c>
      <c r="V93">
        <f t="shared" si="15"/>
        <v>8</v>
      </c>
      <c r="W93">
        <f>IF(LEFT(Treatments!AD61,3)="Yes",1,0)</f>
        <v>1</v>
      </c>
      <c r="X93" t="str">
        <f>Treatments!AE61</f>
        <v>Fatal &amp; injury only</v>
      </c>
      <c r="Y93">
        <f t="shared" si="16"/>
        <v>5</v>
      </c>
      <c r="Z93" t="str">
        <f>Treatments!AE61&amp;" / "&amp;Treatments!AF61</f>
        <v>Fatal &amp; injury only / Only: Nighttime,Run off road</v>
      </c>
      <c r="AA93" t="e">
        <f>IF(Treatments!#REF!="","",Treatments!#REF!)</f>
        <v>#REF!</v>
      </c>
    </row>
    <row r="94" spans="1:27" hidden="1" x14ac:dyDescent="0.25">
      <c r="A94">
        <v>60</v>
      </c>
      <c r="B94" t="str">
        <f>Treatments!A62</f>
        <v>Install Safety Edge Treatment</v>
      </c>
      <c r="C94" t="str">
        <f>Treatments!B62</f>
        <v>CM: SafetyEdge℠</v>
      </c>
      <c r="D94">
        <f>Treatments!Q62</f>
        <v>10.8</v>
      </c>
      <c r="E94">
        <f>Treatments!P62</f>
        <v>0.89200000000000002</v>
      </c>
      <c r="F94">
        <f>IF(ISNUMBER(Treatments!N62),Treatments!N62,0)</f>
        <v>5</v>
      </c>
      <c r="G94">
        <f>IF(ISNUMBER(Treatments!U62),Treatments!U62,"")</f>
        <v>10</v>
      </c>
      <c r="H94">
        <f>IF(ISNUMBER(Treatments!V62),Treatments!V62,"")</f>
        <v>18600</v>
      </c>
      <c r="I94" t="s">
        <v>55</v>
      </c>
      <c r="J94" t="s">
        <v>50</v>
      </c>
      <c r="K94" t="s">
        <v>6</v>
      </c>
      <c r="L94" t="s">
        <v>71</v>
      </c>
      <c r="M94">
        <f t="shared" si="11"/>
        <v>45</v>
      </c>
      <c r="N94">
        <f>IF(OR($C$4="Any",I94="All"),12,IF(ISNUMBER(SEARCH($C$4,I94)),12,0))</f>
        <v>12</v>
      </c>
      <c r="O94">
        <f t="shared" si="12"/>
        <v>13</v>
      </c>
      <c r="P94">
        <f t="shared" si="13"/>
        <v>10</v>
      </c>
      <c r="Q94">
        <f>IF($C$8="",4,IF(AND(ISNUMBER(G94),ISNUMBER(H94)),IF(AND($C$8&gt;=G94,$C$8&lt;=H94),7,0),4))</f>
        <v>4</v>
      </c>
      <c r="R94">
        <f t="shared" si="14"/>
        <v>97</v>
      </c>
      <c r="S94">
        <f>IF(OR(M94=0,W94=0),-A94,R94*100+D94+F94*0.5-A94*0.001)</f>
        <v>9713.24</v>
      </c>
      <c r="T94" t="str">
        <f>Treatments!M62</f>
        <v xml:space="preserve">Original </v>
      </c>
      <c r="U94" t="s">
        <v>53</v>
      </c>
      <c r="V94">
        <f t="shared" si="15"/>
        <v>8</v>
      </c>
      <c r="W94">
        <f>IF(LEFT(Treatments!AD62,3)="Yes",1,0)</f>
        <v>1</v>
      </c>
      <c r="X94" t="str">
        <f>Treatments!AE62</f>
        <v>Fatal &amp; injury only</v>
      </c>
      <c r="Y94">
        <f t="shared" si="16"/>
        <v>5</v>
      </c>
      <c r="Z94" t="str">
        <f>Treatments!AE62&amp;" / "&amp;Treatments!AF62</f>
        <v>Fatal &amp; injury only / All crash types</v>
      </c>
      <c r="AA94" t="e">
        <f>IF(Treatments!#REF!="","",Treatments!#REF!)</f>
        <v>#REF!</v>
      </c>
    </row>
    <row r="95" spans="1:27" hidden="1" x14ac:dyDescent="0.25">
      <c r="A95">
        <v>61</v>
      </c>
      <c r="B95" t="str">
        <f>Treatments!A63</f>
        <v>Install Safety Edge Treatment</v>
      </c>
      <c r="C95" t="str">
        <f>Treatments!B63</f>
        <v>CM: SafetyEdge℠</v>
      </c>
      <c r="D95">
        <f>Treatments!Q63</f>
        <v>35.700000000000003</v>
      </c>
      <c r="E95">
        <f>Treatments!P63</f>
        <v>0.64300000000000002</v>
      </c>
      <c r="F95">
        <f>IF(ISNUMBER(Treatments!N63),Treatments!N63,0)</f>
        <v>5</v>
      </c>
      <c r="G95" t="str">
        <f>IF(ISNUMBER(Treatments!U63),Treatments!U63,"")</f>
        <v/>
      </c>
      <c r="H95" t="str">
        <f>IF(ISNUMBER(Treatments!V63),Treatments!V63,"")</f>
        <v/>
      </c>
      <c r="I95" t="s">
        <v>55</v>
      </c>
      <c r="J95" t="s">
        <v>50</v>
      </c>
      <c r="K95" t="s">
        <v>6</v>
      </c>
      <c r="L95" t="s">
        <v>74</v>
      </c>
      <c r="M95">
        <f t="shared" si="11"/>
        <v>45</v>
      </c>
      <c r="N95">
        <f>IF(OR($C$4="Any",I95="All"),12,IF(ISNUMBER(SEARCH($C$4,I95)),12,0))</f>
        <v>12</v>
      </c>
      <c r="O95">
        <f t="shared" si="12"/>
        <v>13</v>
      </c>
      <c r="P95">
        <f t="shared" si="13"/>
        <v>10</v>
      </c>
      <c r="Q95">
        <f>IF($C$8="",4,IF(AND(ISNUMBER(G95),ISNUMBER(H95)),IF(AND($C$8&gt;=G95,$C$8&lt;=H95),7,0),4))</f>
        <v>4</v>
      </c>
      <c r="R95">
        <f t="shared" si="14"/>
        <v>97</v>
      </c>
      <c r="S95">
        <f>IF(OR(M95=0,W95=0),-A95,R95*100+D95+F95*0.5-A95*0.001)</f>
        <v>9738.139000000001</v>
      </c>
      <c r="T95" t="str">
        <f>Treatments!M63</f>
        <v xml:space="preserve">Added  </v>
      </c>
      <c r="U95" t="s">
        <v>6</v>
      </c>
      <c r="V95">
        <f t="shared" si="15"/>
        <v>8</v>
      </c>
      <c r="W95">
        <f>IF(LEFT(Treatments!AD63,3)="Yes",1,0)</f>
        <v>1</v>
      </c>
      <c r="X95" t="str">
        <f>Treatments!AE63</f>
        <v>All crashes</v>
      </c>
      <c r="Y95">
        <f t="shared" si="16"/>
        <v>5</v>
      </c>
      <c r="Z95" t="str">
        <f>Treatments!AE63&amp;" / "&amp;Treatments!AF63</f>
        <v>All crashes / Only: Run off road</v>
      </c>
      <c r="AA95" t="e">
        <f>IF(Treatments!#REF!="","",Treatments!#REF!)</f>
        <v>#REF!</v>
      </c>
    </row>
    <row r="96" spans="1:27" hidden="1" x14ac:dyDescent="0.25">
      <c r="A96">
        <v>62</v>
      </c>
      <c r="B96" t="str">
        <f>Treatments!A64</f>
        <v>Install Wider Edgelines (4 In To 6 In)</v>
      </c>
      <c r="C96" t="str">
        <f>Treatments!B64</f>
        <v>CM: Wider Edge Lines</v>
      </c>
      <c r="D96">
        <f>Treatments!Q64</f>
        <v>36.5</v>
      </c>
      <c r="E96">
        <f>Treatments!P64</f>
        <v>0.63500000000000001</v>
      </c>
      <c r="F96">
        <f>IF(ISNUMBER(Treatments!N64),Treatments!N64,0)</f>
        <v>4</v>
      </c>
      <c r="G96" t="str">
        <f>IF(ISNUMBER(Treatments!U64),Treatments!U64,"")</f>
        <v/>
      </c>
      <c r="H96" t="str">
        <f>IF(ISNUMBER(Treatments!V64),Treatments!V64,"")</f>
        <v/>
      </c>
      <c r="I96" t="s">
        <v>55</v>
      </c>
      <c r="J96" t="s">
        <v>50</v>
      </c>
      <c r="K96" t="s">
        <v>6</v>
      </c>
      <c r="L96" t="s">
        <v>71</v>
      </c>
      <c r="M96">
        <f t="shared" si="11"/>
        <v>45</v>
      </c>
      <c r="N96">
        <f>IF(OR($C$4="Any",I96="All"),12,IF(ISNUMBER(SEARCH($C$4,I96)),12,0))</f>
        <v>12</v>
      </c>
      <c r="O96">
        <f t="shared" si="12"/>
        <v>13</v>
      </c>
      <c r="P96">
        <f t="shared" si="13"/>
        <v>10</v>
      </c>
      <c r="Q96">
        <f>IF($C$8="",4,IF(AND(ISNUMBER(G96),ISNUMBER(H96)),IF(AND($C$8&gt;=G96,$C$8&lt;=H96),7,0),4))</f>
        <v>4</v>
      </c>
      <c r="R96">
        <f t="shared" si="14"/>
        <v>97</v>
      </c>
      <c r="S96">
        <f>IF(OR(M96=0,W96=0),-A96,R96*100+D96+F96*0.5-A96*0.001)</f>
        <v>9738.4380000000001</v>
      </c>
      <c r="T96" t="str">
        <f>Treatments!M64</f>
        <v xml:space="preserve">Original </v>
      </c>
      <c r="U96" t="s">
        <v>6</v>
      </c>
      <c r="V96">
        <f t="shared" si="15"/>
        <v>8</v>
      </c>
      <c r="W96">
        <f>IF(LEFT(Treatments!AD64,3)="Yes",1,0)</f>
        <v>1</v>
      </c>
      <c r="X96" t="str">
        <f>Treatments!AE64</f>
        <v>Fatal &amp; injury only</v>
      </c>
      <c r="Y96">
        <f t="shared" si="16"/>
        <v>5</v>
      </c>
      <c r="Z96" t="str">
        <f>Treatments!AE64&amp;" / "&amp;Treatments!AF64</f>
        <v>Fatal &amp; injury only / All crash types</v>
      </c>
      <c r="AA96" t="e">
        <f>IF(Treatments!#REF!="","",Treatments!#REF!)</f>
        <v>#REF!</v>
      </c>
    </row>
    <row r="97" spans="1:27" hidden="1" x14ac:dyDescent="0.25">
      <c r="A97">
        <v>63</v>
      </c>
      <c r="B97" t="str">
        <f>Treatments!A65</f>
        <v>Install Wider Longitudinal Pavement Markings</v>
      </c>
      <c r="C97" t="str">
        <f>Treatments!B65</f>
        <v>CM: Wider Edge Lines</v>
      </c>
      <c r="D97">
        <f>Treatments!Q65</f>
        <v>27.5</v>
      </c>
      <c r="E97">
        <f>Treatments!P65</f>
        <v>0.72499999999999998</v>
      </c>
      <c r="F97">
        <f>IF(ISNUMBER(Treatments!N65),Treatments!N65,0)</f>
        <v>5</v>
      </c>
      <c r="G97" t="str">
        <f>IF(ISNUMBER(Treatments!U65),Treatments!U65,"")</f>
        <v/>
      </c>
      <c r="H97" t="str">
        <f>IF(ISNUMBER(Treatments!V65),Treatments!V65,"")</f>
        <v/>
      </c>
      <c r="I97" t="s">
        <v>55</v>
      </c>
      <c r="J97" t="s">
        <v>50</v>
      </c>
      <c r="K97" t="s">
        <v>6</v>
      </c>
      <c r="L97" t="s">
        <v>71</v>
      </c>
      <c r="M97">
        <f t="shared" si="11"/>
        <v>45</v>
      </c>
      <c r="N97">
        <f>IF(OR($C$4="Any",I97="All"),12,IF(ISNUMBER(SEARCH($C$4,I97)),12,0))</f>
        <v>12</v>
      </c>
      <c r="O97">
        <f t="shared" si="12"/>
        <v>13</v>
      </c>
      <c r="P97">
        <f t="shared" si="13"/>
        <v>10</v>
      </c>
      <c r="Q97">
        <f>IF($C$8="",4,IF(AND(ISNUMBER(G97),ISNUMBER(H97)),IF(AND($C$8&gt;=G97,$C$8&lt;=H97),7,0),4))</f>
        <v>4</v>
      </c>
      <c r="R97">
        <f t="shared" si="14"/>
        <v>97</v>
      </c>
      <c r="S97">
        <f>IF(OR(M97=0,W97=0),-A97,R97*100+D97+F97*0.5-A97*0.001)</f>
        <v>9729.9369999999999</v>
      </c>
      <c r="T97" t="str">
        <f>Treatments!M65</f>
        <v xml:space="preserve">Added  </v>
      </c>
      <c r="U97" t="s">
        <v>6</v>
      </c>
      <c r="V97">
        <f t="shared" si="15"/>
        <v>8</v>
      </c>
      <c r="W97">
        <f>IF(LEFT(Treatments!AD65,3)="Yes",1,0)</f>
        <v>1</v>
      </c>
      <c r="X97" t="str">
        <f>Treatments!AE65</f>
        <v>All crashes</v>
      </c>
      <c r="Y97">
        <f t="shared" si="16"/>
        <v>5</v>
      </c>
      <c r="Z97" t="str">
        <f>Treatments!AE65&amp;" / "&amp;Treatments!AF65</f>
        <v>All crashes / All crash types</v>
      </c>
      <c r="AA97" t="e">
        <f>IF(Treatments!#REF!="","",Treatments!#REF!)</f>
        <v>#REF!</v>
      </c>
    </row>
    <row r="98" spans="1:27" hidden="1" x14ac:dyDescent="0.25">
      <c r="A98">
        <v>64</v>
      </c>
      <c r="B98" t="str">
        <f>Treatments!A66</f>
        <v>Install Wider Markings With Resurfacing</v>
      </c>
      <c r="C98" t="str">
        <f>Treatments!B66</f>
        <v>CM: Wider Edge Lines</v>
      </c>
      <c r="D98">
        <f>Treatments!Q66</f>
        <v>34</v>
      </c>
      <c r="E98">
        <f>Treatments!P66</f>
        <v>0.66</v>
      </c>
      <c r="F98">
        <f>IF(ISNUMBER(Treatments!N66),Treatments!N66,0)</f>
        <v>4</v>
      </c>
      <c r="G98" t="str">
        <f>IF(ISNUMBER(Treatments!U66),Treatments!U66,"")</f>
        <v/>
      </c>
      <c r="H98" t="str">
        <f>IF(ISNUMBER(Treatments!V66),Treatments!V66,"")</f>
        <v/>
      </c>
      <c r="I98" t="s">
        <v>55</v>
      </c>
      <c r="J98" t="s">
        <v>50</v>
      </c>
      <c r="K98" t="s">
        <v>6</v>
      </c>
      <c r="L98" t="s">
        <v>71</v>
      </c>
      <c r="M98">
        <f t="shared" si="11"/>
        <v>45</v>
      </c>
      <c r="N98">
        <f>IF(OR($C$4="Any",I98="All"),12,IF(ISNUMBER(SEARCH($C$4,I98)),12,0))</f>
        <v>12</v>
      </c>
      <c r="O98">
        <f t="shared" si="12"/>
        <v>13</v>
      </c>
      <c r="P98">
        <f t="shared" si="13"/>
        <v>10</v>
      </c>
      <c r="Q98">
        <f>IF($C$8="",4,IF(AND(ISNUMBER(G98),ISNUMBER(H98)),IF(AND($C$8&gt;=G98,$C$8&lt;=H98),7,0),4))</f>
        <v>4</v>
      </c>
      <c r="R98">
        <f t="shared" si="14"/>
        <v>97</v>
      </c>
      <c r="S98">
        <f>IF(OR(M98=0,W98=0),-A98,R98*100+D98+F98*0.5-A98*0.001)</f>
        <v>9735.9359999999997</v>
      </c>
      <c r="T98" t="str">
        <f>Treatments!M66</f>
        <v xml:space="preserve">Added  </v>
      </c>
      <c r="U98" t="s">
        <v>6</v>
      </c>
      <c r="V98">
        <f t="shared" si="15"/>
        <v>8</v>
      </c>
      <c r="W98">
        <f>IF(LEFT(Treatments!AD66,3)="Yes",1,0)</f>
        <v>1</v>
      </c>
      <c r="X98" t="str">
        <f>Treatments!AE66</f>
        <v>Fatal &amp; injury only</v>
      </c>
      <c r="Y98">
        <f t="shared" si="16"/>
        <v>5</v>
      </c>
      <c r="Z98" t="str">
        <f>Treatments!AE66&amp;" / "&amp;Treatments!AF66</f>
        <v>Fatal &amp; injury only / All crash types</v>
      </c>
      <c r="AA98" t="e">
        <f>IF(Treatments!#REF!="","",Treatments!#REF!)</f>
        <v>#REF!</v>
      </c>
    </row>
    <row r="99" spans="1:27" hidden="1" x14ac:dyDescent="0.25">
      <c r="A99">
        <v>65</v>
      </c>
      <c r="B99" t="str">
        <f>Treatments!A67</f>
        <v>Install Wider Edgelines (4 In To 6 In)</v>
      </c>
      <c r="C99" t="str">
        <f>Treatments!B67</f>
        <v>CM: Wider Edge Lines</v>
      </c>
      <c r="D99">
        <f>Treatments!Q67</f>
        <v>28.6</v>
      </c>
      <c r="E99">
        <f>Treatments!P67</f>
        <v>0.71399999999999997</v>
      </c>
      <c r="F99">
        <f>IF(ISNUMBER(Treatments!N67),Treatments!N67,0)</f>
        <v>4</v>
      </c>
      <c r="G99" t="str">
        <f>IF(ISNUMBER(Treatments!U67),Treatments!U67,"")</f>
        <v/>
      </c>
      <c r="H99" t="str">
        <f>IF(ISNUMBER(Treatments!V67),Treatments!V67,"")</f>
        <v/>
      </c>
      <c r="I99" t="s">
        <v>55</v>
      </c>
      <c r="J99" t="s">
        <v>50</v>
      </c>
      <c r="K99" t="s">
        <v>6</v>
      </c>
      <c r="L99" t="s">
        <v>74</v>
      </c>
      <c r="M99">
        <f t="shared" ref="M99:M130" si="17">IF(ISNUMBER(SEARCH("|"&amp;$C$7&amp;"|",L99)),45,IF(ISNUMBER(SEARCH("|All|",L99)),18,0))</f>
        <v>45</v>
      </c>
      <c r="N99">
        <f>IF(OR($C$4="Any",I99="All"),12,IF(ISNUMBER(SEARCH($C$4,I99)),12,0))</f>
        <v>12</v>
      </c>
      <c r="O99">
        <f t="shared" ref="O99:O130" si="18">IF(OR($C$5="Any",J99="Any",J99=$C$5),13,0)</f>
        <v>13</v>
      </c>
      <c r="P99">
        <f t="shared" ref="P99:P130" si="19">IF(OR($C$6="Any",K99="Any",K99=$C$6),10,0)</f>
        <v>10</v>
      </c>
      <c r="Q99">
        <f>IF($C$8="",4,IF(AND(ISNUMBER(G99),ISNUMBER(H99)),IF(AND($C$8&gt;=G99,$C$8&lt;=H99),7,0),4))</f>
        <v>4</v>
      </c>
      <c r="R99">
        <f t="shared" ref="R99:R130" si="20">M99+N99+O99+P99+Q99+V99+Y99</f>
        <v>97</v>
      </c>
      <c r="S99">
        <f>IF(OR(M99=0,W99=0),-A99,R99*100+D99+F99*0.5-A99*0.001)</f>
        <v>9730.5349999999999</v>
      </c>
      <c r="T99" t="str">
        <f>Treatments!M67</f>
        <v xml:space="preserve">Added  </v>
      </c>
      <c r="U99" t="s">
        <v>6</v>
      </c>
      <c r="V99">
        <f t="shared" ref="V99:V130" si="21">IF(OR($C$11="Any",U99="Any",U99=$C$11),8,0)</f>
        <v>8</v>
      </c>
      <c r="W99">
        <f>IF(LEFT(Treatments!AD67,3)="Yes",1,0)</f>
        <v>1</v>
      </c>
      <c r="X99" t="str">
        <f>Treatments!AE67</f>
        <v>All crashes</v>
      </c>
      <c r="Y99">
        <f t="shared" ref="Y99:Y130" si="22">IF($C$12="Any",5,IF($C$12=X99,5,IF(AND($C$12="Fatal &amp; injury only",X99="All crashes"),3,0)))</f>
        <v>5</v>
      </c>
      <c r="Z99" t="str">
        <f>Treatments!AE67&amp;" / "&amp;Treatments!AF67</f>
        <v>All crashes / Only: Day time</v>
      </c>
      <c r="AA99" t="e">
        <f>IF(Treatments!#REF!="","",Treatments!#REF!)</f>
        <v>#REF!</v>
      </c>
    </row>
    <row r="100" spans="1:27" hidden="1" x14ac:dyDescent="0.25">
      <c r="A100">
        <v>66</v>
      </c>
      <c r="B100" t="str">
        <f>Treatments!A68</f>
        <v>Install Wider Markings Without Resurfacing</v>
      </c>
      <c r="C100" t="str">
        <f>Treatments!B68</f>
        <v>CM: Wider Edge Lines</v>
      </c>
      <c r="D100">
        <f>Treatments!Q68</f>
        <v>22</v>
      </c>
      <c r="E100">
        <f>Treatments!P68</f>
        <v>0.78</v>
      </c>
      <c r="F100">
        <f>IF(ISNUMBER(Treatments!N68),Treatments!N68,0)</f>
        <v>4</v>
      </c>
      <c r="G100" t="str">
        <f>IF(ISNUMBER(Treatments!U68),Treatments!U68,"")</f>
        <v/>
      </c>
      <c r="H100" t="str">
        <f>IF(ISNUMBER(Treatments!V68),Treatments!V68,"")</f>
        <v/>
      </c>
      <c r="I100" t="s">
        <v>55</v>
      </c>
      <c r="J100" t="s">
        <v>50</v>
      </c>
      <c r="K100" t="s">
        <v>6</v>
      </c>
      <c r="L100" t="s">
        <v>71</v>
      </c>
      <c r="M100">
        <f t="shared" si="17"/>
        <v>45</v>
      </c>
      <c r="N100">
        <f>IF(OR($C$4="Any",I100="All"),12,IF(ISNUMBER(SEARCH($C$4,I100)),12,0))</f>
        <v>12</v>
      </c>
      <c r="O100">
        <f t="shared" si="18"/>
        <v>13</v>
      </c>
      <c r="P100">
        <f t="shared" si="19"/>
        <v>10</v>
      </c>
      <c r="Q100">
        <f>IF($C$8="",4,IF(AND(ISNUMBER(G100),ISNUMBER(H100)),IF(AND($C$8&gt;=G100,$C$8&lt;=H100),7,0),4))</f>
        <v>4</v>
      </c>
      <c r="R100">
        <f t="shared" si="20"/>
        <v>97</v>
      </c>
      <c r="S100">
        <f>IF(OR(M100=0,W100=0),-A100,R100*100+D100+F100*0.5-A100*0.001)</f>
        <v>9723.9339999999993</v>
      </c>
      <c r="T100" t="str">
        <f>Treatments!M68</f>
        <v xml:space="preserve">Added  </v>
      </c>
      <c r="U100" t="s">
        <v>52</v>
      </c>
      <c r="V100">
        <f t="shared" si="21"/>
        <v>8</v>
      </c>
      <c r="W100">
        <f>IF(LEFT(Treatments!AD68,3)="Yes",1,0)</f>
        <v>1</v>
      </c>
      <c r="X100" t="str">
        <f>Treatments!AE68</f>
        <v>Fatal &amp; injury only</v>
      </c>
      <c r="Y100">
        <f t="shared" si="22"/>
        <v>5</v>
      </c>
      <c r="Z100" t="str">
        <f>Treatments!AE68&amp;" / "&amp;Treatments!AF68</f>
        <v>Fatal &amp; injury only / All crash types</v>
      </c>
      <c r="AA100" t="e">
        <f>IF(Treatments!#REF!="","",Treatments!#REF!)</f>
        <v>#REF!</v>
      </c>
    </row>
    <row r="101" spans="1:27" hidden="1" x14ac:dyDescent="0.25">
      <c r="A101">
        <v>67</v>
      </c>
      <c r="B101" t="str">
        <f>Treatments!A69</f>
        <v>Add 3-Inch Yellow Retroreflective Sheeting To Signal Backplates</v>
      </c>
      <c r="C101" t="str">
        <f>Treatments!B69</f>
        <v>CM: Backplates with Retroreflective Borders</v>
      </c>
      <c r="D101">
        <f>Treatments!Q69</f>
        <v>15</v>
      </c>
      <c r="E101">
        <f>Treatments!P69</f>
        <v>0.85</v>
      </c>
      <c r="F101">
        <f>IF(ISNUMBER(Treatments!N69),Treatments!N69,0)</f>
        <v>4</v>
      </c>
      <c r="G101" t="str">
        <f>IF(ISNUMBER(Treatments!U69),Treatments!U69,"")</f>
        <v/>
      </c>
      <c r="H101" t="str">
        <f>IF(ISNUMBER(Treatments!V69),Treatments!V69,"")</f>
        <v/>
      </c>
      <c r="I101" t="s">
        <v>49</v>
      </c>
      <c r="J101" t="s">
        <v>62</v>
      </c>
      <c r="K101" t="s">
        <v>63</v>
      </c>
      <c r="L101" t="s">
        <v>75</v>
      </c>
      <c r="M101">
        <f t="shared" si="17"/>
        <v>18</v>
      </c>
      <c r="N101">
        <f>IF(OR($C$4="Any",I101="All"),12,IF(ISNUMBER(SEARCH($C$4,I101)),12,0))</f>
        <v>12</v>
      </c>
      <c r="O101">
        <f t="shared" si="18"/>
        <v>13</v>
      </c>
      <c r="P101">
        <f t="shared" si="19"/>
        <v>10</v>
      </c>
      <c r="Q101">
        <f>IF($C$8="",4,IF(AND(ISNUMBER(G101),ISNUMBER(H101)),IF(AND($C$8&gt;=G101,$C$8&lt;=H101),7,0),4))</f>
        <v>4</v>
      </c>
      <c r="R101">
        <f t="shared" si="20"/>
        <v>70</v>
      </c>
      <c r="S101">
        <f>IF(OR(M101=0,W101=0),-A101,R101*100+D101+F101*0.5-A101*0.001)</f>
        <v>7016.933</v>
      </c>
      <c r="T101" t="str">
        <f>Treatments!M69</f>
        <v xml:space="preserve">Original </v>
      </c>
      <c r="U101" t="s">
        <v>6</v>
      </c>
      <c r="V101">
        <f t="shared" si="21"/>
        <v>8</v>
      </c>
      <c r="W101">
        <f>IF(LEFT(Treatments!AD69,3)="Yes",1,0)</f>
        <v>1</v>
      </c>
      <c r="X101" t="str">
        <f>Treatments!AE69</f>
        <v>All crashes</v>
      </c>
      <c r="Y101">
        <f t="shared" si="22"/>
        <v>5</v>
      </c>
      <c r="Z101" t="str">
        <f>Treatments!AE69&amp;" / "&amp;Treatments!AF69</f>
        <v>All crashes / All crash types</v>
      </c>
      <c r="AA101" t="e">
        <f>IF(Treatments!#REF!="","",Treatments!#REF!)</f>
        <v>#REF!</v>
      </c>
    </row>
    <row r="102" spans="1:27" hidden="1" x14ac:dyDescent="0.25">
      <c r="A102">
        <v>68</v>
      </c>
      <c r="B102" t="str">
        <f>Treatments!A70</f>
        <v>Reduce Driveways From 10-24 To Less Than 10 Per Mile</v>
      </c>
      <c r="C102" t="str">
        <f>Treatments!B70</f>
        <v>CM: Corridor Access Management</v>
      </c>
      <c r="D102">
        <f>Treatments!Q70</f>
        <v>25</v>
      </c>
      <c r="E102">
        <f>Treatments!P70</f>
        <v>0.75</v>
      </c>
      <c r="F102">
        <f>IF(ISNUMBER(Treatments!N70),Treatments!N70,0)</f>
        <v>3</v>
      </c>
      <c r="G102" t="str">
        <f>IF(ISNUMBER(Treatments!U70),Treatments!U70,"")</f>
        <v/>
      </c>
      <c r="H102" t="str">
        <f>IF(ISNUMBER(Treatments!V70),Treatments!V70,"")</f>
        <v/>
      </c>
      <c r="I102" t="s">
        <v>59</v>
      </c>
      <c r="J102" t="s">
        <v>50</v>
      </c>
      <c r="K102" t="s">
        <v>6</v>
      </c>
      <c r="L102" t="s">
        <v>76</v>
      </c>
      <c r="M102">
        <f t="shared" si="17"/>
        <v>18</v>
      </c>
      <c r="N102">
        <f>IF(OR($C$4="Any",I102="All"),12,IF(ISNUMBER(SEARCH($C$4,I102)),12,0))</f>
        <v>12</v>
      </c>
      <c r="O102">
        <f t="shared" si="18"/>
        <v>13</v>
      </c>
      <c r="P102">
        <f t="shared" si="19"/>
        <v>10</v>
      </c>
      <c r="Q102">
        <f>IF($C$8="",4,IF(AND(ISNUMBER(G102),ISNUMBER(H102)),IF(AND($C$8&gt;=G102,$C$8&lt;=H102),7,0),4))</f>
        <v>4</v>
      </c>
      <c r="R102">
        <f t="shared" si="20"/>
        <v>70</v>
      </c>
      <c r="S102">
        <f>IF(OR(M102=0,W102=0),-A102,R102*100+D102+F102*0.5-A102*0.001)</f>
        <v>-68</v>
      </c>
      <c r="T102" t="str">
        <f>Treatments!M70</f>
        <v xml:space="preserve">Original </v>
      </c>
      <c r="U102" t="s">
        <v>53</v>
      </c>
      <c r="V102">
        <f t="shared" si="21"/>
        <v>8</v>
      </c>
      <c r="W102">
        <f>IF(LEFT(Treatments!AD70,3)="Yes",1,0)</f>
        <v>0</v>
      </c>
      <c r="X102" t="str">
        <f>Treatments!AE70</f>
        <v>Fatal &amp; injury only</v>
      </c>
      <c r="Y102">
        <f t="shared" si="22"/>
        <v>5</v>
      </c>
      <c r="Z102" t="str">
        <f>Treatments!AE70&amp;" / "&amp;Treatments!AF70</f>
        <v>Fatal &amp; injury only / All crash types</v>
      </c>
      <c r="AA102" t="e">
        <f>IF(Treatments!#REF!="","",Treatments!#REF!)</f>
        <v>#REF!</v>
      </c>
    </row>
    <row r="103" spans="1:27" hidden="1" x14ac:dyDescent="0.25">
      <c r="A103">
        <v>69</v>
      </c>
      <c r="B103" t="str">
        <f>Treatments!A71</f>
        <v>Reduce Driveways From 26-48 To 10-24 Per Mile</v>
      </c>
      <c r="C103" t="str">
        <f>Treatments!B71</f>
        <v>CM: Corridor Access Management</v>
      </c>
      <c r="D103">
        <f>Treatments!Q71</f>
        <v>31</v>
      </c>
      <c r="E103">
        <f>Treatments!P71</f>
        <v>0.69</v>
      </c>
      <c r="F103">
        <f>IF(ISNUMBER(Treatments!N71),Treatments!N71,0)</f>
        <v>3</v>
      </c>
      <c r="G103" t="str">
        <f>IF(ISNUMBER(Treatments!U71),Treatments!U71,"")</f>
        <v/>
      </c>
      <c r="H103" t="str">
        <f>IF(ISNUMBER(Treatments!V71),Treatments!V71,"")</f>
        <v/>
      </c>
      <c r="I103" t="s">
        <v>59</v>
      </c>
      <c r="J103" t="s">
        <v>50</v>
      </c>
      <c r="K103" t="s">
        <v>6</v>
      </c>
      <c r="L103" t="s">
        <v>76</v>
      </c>
      <c r="M103">
        <f t="shared" si="17"/>
        <v>18</v>
      </c>
      <c r="N103">
        <f>IF(OR($C$4="Any",I103="All"),12,IF(ISNUMBER(SEARCH($C$4,I103)),12,0))</f>
        <v>12</v>
      </c>
      <c r="O103">
        <f t="shared" si="18"/>
        <v>13</v>
      </c>
      <c r="P103">
        <f t="shared" si="19"/>
        <v>10</v>
      </c>
      <c r="Q103">
        <f>IF($C$8="",4,IF(AND(ISNUMBER(G103),ISNUMBER(H103)),IF(AND($C$8&gt;=G103,$C$8&lt;=H103),7,0),4))</f>
        <v>4</v>
      </c>
      <c r="R103">
        <f t="shared" si="20"/>
        <v>70</v>
      </c>
      <c r="S103">
        <f>IF(OR(M103=0,W103=0),-A103,R103*100+D103+F103*0.5-A103*0.001)</f>
        <v>-69</v>
      </c>
      <c r="T103" t="str">
        <f>Treatments!M71</f>
        <v xml:space="preserve">Original </v>
      </c>
      <c r="U103" t="s">
        <v>53</v>
      </c>
      <c r="V103">
        <f t="shared" si="21"/>
        <v>8</v>
      </c>
      <c r="W103">
        <f>IF(LEFT(Treatments!AD71,3)="Yes",1,0)</f>
        <v>0</v>
      </c>
      <c r="X103" t="str">
        <f>Treatments!AE71</f>
        <v>Fatal &amp; injury only</v>
      </c>
      <c r="Y103">
        <f t="shared" si="22"/>
        <v>5</v>
      </c>
      <c r="Z103" t="str">
        <f>Treatments!AE71&amp;" / "&amp;Treatments!AF71</f>
        <v>Fatal &amp; injury only / All crash types</v>
      </c>
      <c r="AA103" t="e">
        <f>IF(Treatments!#REF!="","",Treatments!#REF!)</f>
        <v>#REF!</v>
      </c>
    </row>
    <row r="104" spans="1:27" hidden="1" x14ac:dyDescent="0.25">
      <c r="A104">
        <v>70</v>
      </c>
      <c r="B104" t="str">
        <f>Treatments!A72</f>
        <v>Install TWLTL (Two-Way Left Turn Lane) On Four Lane Road</v>
      </c>
      <c r="C104" t="str">
        <f>Treatments!B72</f>
        <v>CM: Corridor Access Management</v>
      </c>
      <c r="D104">
        <f>Treatments!Q72</f>
        <v>29.9</v>
      </c>
      <c r="E104">
        <f>Treatments!P72</f>
        <v>0.70099999999999996</v>
      </c>
      <c r="F104">
        <f>IF(ISNUMBER(Treatments!N72),Treatments!N72,0)</f>
        <v>4</v>
      </c>
      <c r="G104">
        <f>IF(ISNUMBER(Treatments!U72),Treatments!U72,"")</f>
        <v>6800</v>
      </c>
      <c r="H104">
        <f>IF(ISNUMBER(Treatments!V72),Treatments!V72,"")</f>
        <v>22141</v>
      </c>
      <c r="I104" t="s">
        <v>49</v>
      </c>
      <c r="J104" t="s">
        <v>50</v>
      </c>
      <c r="K104" t="s">
        <v>6</v>
      </c>
      <c r="L104" t="s">
        <v>77</v>
      </c>
      <c r="M104">
        <f t="shared" si="17"/>
        <v>0</v>
      </c>
      <c r="N104">
        <f>IF(OR($C$4="Any",I104="All"),12,IF(ISNUMBER(SEARCH($C$4,I104)),12,0))</f>
        <v>12</v>
      </c>
      <c r="O104">
        <f t="shared" si="18"/>
        <v>13</v>
      </c>
      <c r="P104">
        <f t="shared" si="19"/>
        <v>10</v>
      </c>
      <c r="Q104">
        <f>IF($C$8="",4,IF(AND(ISNUMBER(G104),ISNUMBER(H104)),IF(AND($C$8&gt;=G104,$C$8&lt;=H104),7,0),4))</f>
        <v>4</v>
      </c>
      <c r="R104">
        <f t="shared" si="20"/>
        <v>52</v>
      </c>
      <c r="S104">
        <f>IF(OR(M104=0,W104=0),-A104,R104*100+D104+F104*0.5-A104*0.001)</f>
        <v>-70</v>
      </c>
      <c r="T104" t="str">
        <f>Treatments!M72</f>
        <v xml:space="preserve">Added  </v>
      </c>
      <c r="U104" t="s">
        <v>6</v>
      </c>
      <c r="V104">
        <f t="shared" si="21"/>
        <v>8</v>
      </c>
      <c r="W104">
        <f>IF(LEFT(Treatments!AD72,3)="Yes",1,0)</f>
        <v>1</v>
      </c>
      <c r="X104" t="str">
        <f>Treatments!AE72</f>
        <v>All crashes</v>
      </c>
      <c r="Y104">
        <f t="shared" si="22"/>
        <v>5</v>
      </c>
      <c r="Z104" t="str">
        <f>Treatments!AE72&amp;" / "&amp;Treatments!AF72</f>
        <v>All crashes / Only: Non-intersection</v>
      </c>
      <c r="AA104" t="e">
        <f>IF(Treatments!#REF!="","",Treatments!#REF!)</f>
        <v>#REF!</v>
      </c>
    </row>
    <row r="105" spans="1:27" hidden="1" x14ac:dyDescent="0.25">
      <c r="A105">
        <v>71</v>
      </c>
      <c r="B105" t="str">
        <f>Treatments!A73</f>
        <v>Introduce TWLTL (Two-Way Left Turn Lanes) On Rural Two Lane Roads</v>
      </c>
      <c r="C105" t="str">
        <f>Treatments!B73</f>
        <v>CM: Corridor Access Management</v>
      </c>
      <c r="D105">
        <f>Treatments!Q73</f>
        <v>47</v>
      </c>
      <c r="E105">
        <f>Treatments!P73</f>
        <v>0.53</v>
      </c>
      <c r="F105">
        <f>IF(ISNUMBER(Treatments!N73),Treatments!N73,0)</f>
        <v>5</v>
      </c>
      <c r="G105" t="str">
        <f>IF(ISNUMBER(Treatments!U73),Treatments!U73,"")</f>
        <v/>
      </c>
      <c r="H105" t="str">
        <f>IF(ISNUMBER(Treatments!V73),Treatments!V73,"")</f>
        <v/>
      </c>
      <c r="I105" t="s">
        <v>55</v>
      </c>
      <c r="J105" t="s">
        <v>50</v>
      </c>
      <c r="K105" t="s">
        <v>6</v>
      </c>
      <c r="L105" t="s">
        <v>77</v>
      </c>
      <c r="M105">
        <f t="shared" si="17"/>
        <v>0</v>
      </c>
      <c r="N105">
        <f>IF(OR($C$4="Any",I105="All"),12,IF(ISNUMBER(SEARCH($C$4,I105)),12,0))</f>
        <v>12</v>
      </c>
      <c r="O105">
        <f t="shared" si="18"/>
        <v>13</v>
      </c>
      <c r="P105">
        <f t="shared" si="19"/>
        <v>10</v>
      </c>
      <c r="Q105">
        <f>IF($C$8="",4,IF(AND(ISNUMBER(G105),ISNUMBER(H105)),IF(AND($C$8&gt;=G105,$C$8&lt;=H105),7,0),4))</f>
        <v>4</v>
      </c>
      <c r="R105">
        <f t="shared" si="20"/>
        <v>52</v>
      </c>
      <c r="S105">
        <f>IF(OR(M105=0,W105=0),-A105,R105*100+D105+F105*0.5-A105*0.001)</f>
        <v>-71</v>
      </c>
      <c r="T105" t="str">
        <f>Treatments!M73</f>
        <v xml:space="preserve">Added  </v>
      </c>
      <c r="U105" t="s">
        <v>6</v>
      </c>
      <c r="V105">
        <f t="shared" si="21"/>
        <v>8</v>
      </c>
      <c r="W105">
        <f>IF(LEFT(Treatments!AD73,3)="Yes",1,0)</f>
        <v>1</v>
      </c>
      <c r="X105" t="str">
        <f>Treatments!AE73</f>
        <v>All crashes</v>
      </c>
      <c r="Y105">
        <f t="shared" si="22"/>
        <v>5</v>
      </c>
      <c r="Z105" t="str">
        <f>Treatments!AE73&amp;" / "&amp;Treatments!AF73</f>
        <v>All crashes / Only: Rear end</v>
      </c>
      <c r="AA105" t="e">
        <f>IF(Treatments!#REF!="","",Treatments!#REF!)</f>
        <v>#REF!</v>
      </c>
    </row>
    <row r="106" spans="1:27" hidden="1" x14ac:dyDescent="0.25">
      <c r="A106">
        <v>72</v>
      </c>
      <c r="B106" t="str">
        <f>Treatments!A74</f>
        <v>Install TWLTL (Two-Way Left Turn Lane) On Two Lane Road</v>
      </c>
      <c r="C106" t="str">
        <f>Treatments!B74</f>
        <v>CM: Corridor Access Management</v>
      </c>
      <c r="D106">
        <f>Treatments!Q74</f>
        <v>53.1</v>
      </c>
      <c r="E106">
        <f>Treatments!P74</f>
        <v>0.46899999999999997</v>
      </c>
      <c r="F106">
        <f>IF(ISNUMBER(Treatments!N74),Treatments!N74,0)</f>
        <v>4</v>
      </c>
      <c r="G106" t="str">
        <f>IF(ISNUMBER(Treatments!U74),Treatments!U74,"")</f>
        <v/>
      </c>
      <c r="H106" t="str">
        <f>IF(ISNUMBER(Treatments!V74),Treatments!V74,"")</f>
        <v/>
      </c>
      <c r="I106" t="s">
        <v>54</v>
      </c>
      <c r="J106" t="s">
        <v>50</v>
      </c>
      <c r="K106" t="s">
        <v>6</v>
      </c>
      <c r="L106" t="s">
        <v>76</v>
      </c>
      <c r="M106">
        <f t="shared" si="17"/>
        <v>18</v>
      </c>
      <c r="N106">
        <f>IF(OR($C$4="Any",I106="All"),12,IF(ISNUMBER(SEARCH($C$4,I106)),12,0))</f>
        <v>12</v>
      </c>
      <c r="O106">
        <f t="shared" si="18"/>
        <v>13</v>
      </c>
      <c r="P106">
        <f t="shared" si="19"/>
        <v>10</v>
      </c>
      <c r="Q106">
        <f>IF($C$8="",4,IF(AND(ISNUMBER(G106),ISNUMBER(H106)),IF(AND($C$8&gt;=G106,$C$8&lt;=H106),7,0),4))</f>
        <v>4</v>
      </c>
      <c r="R106">
        <f t="shared" si="20"/>
        <v>70</v>
      </c>
      <c r="S106">
        <f>IF(OR(M106=0,W106=0),-A106,R106*100+D106+F106*0.5-A106*0.001)</f>
        <v>7055.0280000000002</v>
      </c>
      <c r="T106" t="str">
        <f>Treatments!M74</f>
        <v xml:space="preserve">Added  </v>
      </c>
      <c r="U106" t="s">
        <v>6</v>
      </c>
      <c r="V106">
        <f t="shared" si="21"/>
        <v>8</v>
      </c>
      <c r="W106">
        <f>IF(LEFT(Treatments!AD74,3)="Yes",1,0)</f>
        <v>1</v>
      </c>
      <c r="X106" t="str">
        <f>Treatments!AE74</f>
        <v>Fatal &amp; injury only</v>
      </c>
      <c r="Y106">
        <f t="shared" si="22"/>
        <v>5</v>
      </c>
      <c r="Z106" t="str">
        <f>Treatments!AE74&amp;" / "&amp;Treatments!AF74</f>
        <v>Fatal &amp; injury only / All crash types</v>
      </c>
      <c r="AA106" t="e">
        <f>IF(Treatments!#REF!="","",Treatments!#REF!)</f>
        <v>#REF!</v>
      </c>
    </row>
    <row r="107" spans="1:27" hidden="1" x14ac:dyDescent="0.25">
      <c r="A107">
        <v>73</v>
      </c>
      <c r="B107" t="str">
        <f>Treatments!A75</f>
        <v>Replace TWLTL With Raised Median</v>
      </c>
      <c r="C107" t="str">
        <f>Treatments!B75</f>
        <v>CM: Corridor Access Management</v>
      </c>
      <c r="D107">
        <f>Treatments!Q75</f>
        <v>47</v>
      </c>
      <c r="E107">
        <f>Treatments!P75</f>
        <v>0.53</v>
      </c>
      <c r="F107">
        <f>IF(ISNUMBER(Treatments!N75),Treatments!N75,0)</f>
        <v>4</v>
      </c>
      <c r="G107">
        <f>IF(ISNUMBER(Treatments!U75),Treatments!U75,"")</f>
        <v>4883</v>
      </c>
      <c r="H107">
        <f>IF(ISNUMBER(Treatments!V75),Treatments!V75,"")</f>
        <v>96080</v>
      </c>
      <c r="I107" t="s">
        <v>54</v>
      </c>
      <c r="J107" t="s">
        <v>50</v>
      </c>
      <c r="K107" t="s">
        <v>6</v>
      </c>
      <c r="L107" t="s">
        <v>78</v>
      </c>
      <c r="M107">
        <f t="shared" si="17"/>
        <v>45</v>
      </c>
      <c r="N107">
        <f>IF(OR($C$4="Any",I107="All"),12,IF(ISNUMBER(SEARCH($C$4,I107)),12,0))</f>
        <v>12</v>
      </c>
      <c r="O107">
        <f t="shared" si="18"/>
        <v>13</v>
      </c>
      <c r="P107">
        <f t="shared" si="19"/>
        <v>10</v>
      </c>
      <c r="Q107">
        <f>IF($C$8="",4,IF(AND(ISNUMBER(G107),ISNUMBER(H107)),IF(AND($C$8&gt;=G107,$C$8&lt;=H107),7,0),4))</f>
        <v>4</v>
      </c>
      <c r="R107">
        <f t="shared" si="20"/>
        <v>97</v>
      </c>
      <c r="S107">
        <f>IF(OR(M107=0,W107=0),-A107,R107*100+D107+F107*0.5-A107*0.001)</f>
        <v>9748.9269999999997</v>
      </c>
      <c r="T107" t="str">
        <f>Treatments!M75</f>
        <v xml:space="preserve">Added  </v>
      </c>
      <c r="U107" t="s">
        <v>6</v>
      </c>
      <c r="V107">
        <f t="shared" si="21"/>
        <v>8</v>
      </c>
      <c r="W107">
        <f>IF(LEFT(Treatments!AD75,3)="Yes",1,0)</f>
        <v>1</v>
      </c>
      <c r="X107" t="str">
        <f>Treatments!AE75</f>
        <v>All crashes</v>
      </c>
      <c r="Y107">
        <f t="shared" si="22"/>
        <v>5</v>
      </c>
      <c r="Z107" t="str">
        <f>Treatments!AE75&amp;" / "&amp;Treatments!AF75</f>
        <v>All crashes / Only: Head on</v>
      </c>
      <c r="AA107" t="e">
        <f>IF(Treatments!#REF!="","",Treatments!#REF!)</f>
        <v>#REF!</v>
      </c>
    </row>
    <row r="108" spans="1:27" hidden="1" x14ac:dyDescent="0.25">
      <c r="A108">
        <v>74</v>
      </c>
      <c r="B108" t="str">
        <f>Treatments!A76</f>
        <v>PROVIDE A RIGHT-TURN LANE ON ONE MAJOR-ROAD APPROACH</v>
      </c>
      <c r="C108" t="str">
        <f>Treatments!B76</f>
        <v>CM: Dedicated Right- Lanes at Intersections</v>
      </c>
      <c r="D108">
        <f>Treatments!Q76</f>
        <v>14</v>
      </c>
      <c r="E108">
        <f>Treatments!P76</f>
        <v>0.86</v>
      </c>
      <c r="F108">
        <f>IF(ISNUMBER(Treatments!N76),Treatments!N76,0)</f>
        <v>4</v>
      </c>
      <c r="G108">
        <f>IF(ISNUMBER(Treatments!U76),Treatments!U76,"")</f>
        <v>1500</v>
      </c>
      <c r="H108">
        <f>IF(ISNUMBER(Treatments!V76),Treatments!V76,"")</f>
        <v>40600</v>
      </c>
      <c r="I108" t="s">
        <v>54</v>
      </c>
      <c r="J108" t="s">
        <v>62</v>
      </c>
      <c r="K108" t="s">
        <v>6</v>
      </c>
      <c r="L108" t="s">
        <v>79</v>
      </c>
      <c r="M108">
        <f t="shared" si="17"/>
        <v>18</v>
      </c>
      <c r="N108">
        <f>IF(OR($C$4="Any",I108="All"),12,IF(ISNUMBER(SEARCH($C$4,I108)),12,0))</f>
        <v>12</v>
      </c>
      <c r="O108">
        <f t="shared" si="18"/>
        <v>13</v>
      </c>
      <c r="P108">
        <f t="shared" si="19"/>
        <v>10</v>
      </c>
      <c r="Q108">
        <f>IF($C$8="",4,IF(AND(ISNUMBER(G108),ISNUMBER(H108)),IF(AND($C$8&gt;=G108,$C$8&lt;=H108),7,0),4))</f>
        <v>4</v>
      </c>
      <c r="R108">
        <f t="shared" si="20"/>
        <v>70</v>
      </c>
      <c r="S108">
        <f>IF(OR(M108=0,W108=0),-A108,R108*100+D108+F108*0.5-A108*0.001)</f>
        <v>7015.9260000000004</v>
      </c>
      <c r="T108" t="str">
        <f>Treatments!M76</f>
        <v xml:space="preserve">Original </v>
      </c>
      <c r="U108" t="s">
        <v>6</v>
      </c>
      <c r="V108">
        <f t="shared" si="21"/>
        <v>8</v>
      </c>
      <c r="W108">
        <f>IF(LEFT(Treatments!AD76,3)="Yes",1,0)</f>
        <v>1</v>
      </c>
      <c r="X108" t="str">
        <f>Treatments!AE76</f>
        <v>All crashes</v>
      </c>
      <c r="Y108">
        <f t="shared" si="22"/>
        <v>5</v>
      </c>
      <c r="Z108" t="str">
        <f>Treatments!AE76&amp;" / "&amp;Treatments!AF76</f>
        <v>All crashes / All crash types</v>
      </c>
      <c r="AA108" t="e">
        <f>IF(Treatments!#REF!="","",Treatments!#REF!)</f>
        <v>#REF!</v>
      </c>
    </row>
    <row r="109" spans="1:27" hidden="1" x14ac:dyDescent="0.25">
      <c r="A109">
        <v>75</v>
      </c>
      <c r="B109" t="str">
        <f>Treatments!A77</f>
        <v>Improve Angle Of Channelized Right Turn Lane</v>
      </c>
      <c r="C109" t="str">
        <f>Treatments!B77</f>
        <v>CM: Dedicated Right- Lanes at Intersections</v>
      </c>
      <c r="D109">
        <f>Treatments!Q77</f>
        <v>60.3</v>
      </c>
      <c r="E109">
        <f>Treatments!P77</f>
        <v>0.39700000000000002</v>
      </c>
      <c r="F109">
        <f>IF(ISNUMBER(Treatments!N77),Treatments!N77,0)</f>
        <v>4</v>
      </c>
      <c r="G109" t="str">
        <f>IF(ISNUMBER(Treatments!U77),Treatments!U77,"")</f>
        <v/>
      </c>
      <c r="H109" t="str">
        <f>IF(ISNUMBER(Treatments!V77),Treatments!V77,"")</f>
        <v/>
      </c>
      <c r="I109" t="s">
        <v>54</v>
      </c>
      <c r="J109" t="s">
        <v>62</v>
      </c>
      <c r="K109" t="s">
        <v>6</v>
      </c>
      <c r="L109" t="s">
        <v>80</v>
      </c>
      <c r="M109">
        <f t="shared" si="17"/>
        <v>0</v>
      </c>
      <c r="N109">
        <f>IF(OR($C$4="Any",I109="All"),12,IF(ISNUMBER(SEARCH($C$4,I109)),12,0))</f>
        <v>12</v>
      </c>
      <c r="O109">
        <f t="shared" si="18"/>
        <v>13</v>
      </c>
      <c r="P109">
        <f t="shared" si="19"/>
        <v>10</v>
      </c>
      <c r="Q109">
        <f>IF($C$8="",4,IF(AND(ISNUMBER(G109),ISNUMBER(H109)),IF(AND($C$8&gt;=G109,$C$8&lt;=H109),7,0),4))</f>
        <v>4</v>
      </c>
      <c r="R109">
        <f t="shared" si="20"/>
        <v>52</v>
      </c>
      <c r="S109">
        <f>IF(OR(M109=0,W109=0),-A109,R109*100+D109+F109*0.5-A109*0.001)</f>
        <v>-75</v>
      </c>
      <c r="T109" t="str">
        <f>Treatments!M77</f>
        <v xml:space="preserve">Added  </v>
      </c>
      <c r="U109" t="s">
        <v>6</v>
      </c>
      <c r="V109">
        <f t="shared" si="21"/>
        <v>8</v>
      </c>
      <c r="W109">
        <f>IF(LEFT(Treatments!AD77,3)="Yes",1,0)</f>
        <v>1</v>
      </c>
      <c r="X109" t="str">
        <f>Treatments!AE77</f>
        <v>All crashes</v>
      </c>
      <c r="Y109">
        <f t="shared" si="22"/>
        <v>5</v>
      </c>
      <c r="Z109" t="str">
        <f>Treatments!AE77&amp;" / "&amp;Treatments!AF77</f>
        <v>All crashes / Only: Right turn,Other</v>
      </c>
      <c r="AA109" t="e">
        <f>IF(Treatments!#REF!="","",Treatments!#REF!)</f>
        <v>#REF!</v>
      </c>
    </row>
    <row r="110" spans="1:27" hidden="1" x14ac:dyDescent="0.25">
      <c r="A110">
        <v>76</v>
      </c>
      <c r="B110" t="str">
        <f>Treatments!A78</f>
        <v>Change Right-Turn Lane Geometry To Increase Line Of Sight (Approach Level)</v>
      </c>
      <c r="C110" t="str">
        <f>Treatments!B78</f>
        <v>CM: Dedicated Right- Lanes at Intersections</v>
      </c>
      <c r="D110">
        <f>Treatments!Q78</f>
        <v>59.6</v>
      </c>
      <c r="E110">
        <f>Treatments!P78</f>
        <v>0.40400000000000003</v>
      </c>
      <c r="F110">
        <f>IF(ISNUMBER(Treatments!N78),Treatments!N78,0)</f>
        <v>4</v>
      </c>
      <c r="G110" t="str">
        <f>IF(ISNUMBER(Treatments!U78),Treatments!U78,"")</f>
        <v/>
      </c>
      <c r="H110" t="str">
        <f>IF(ISNUMBER(Treatments!V78),Treatments!V78,"")</f>
        <v/>
      </c>
      <c r="I110" t="s">
        <v>54</v>
      </c>
      <c r="J110" t="s">
        <v>62</v>
      </c>
      <c r="K110" t="s">
        <v>6</v>
      </c>
      <c r="L110" t="s">
        <v>80</v>
      </c>
      <c r="M110">
        <f t="shared" si="17"/>
        <v>0</v>
      </c>
      <c r="N110">
        <f>IF(OR($C$4="Any",I110="All"),12,IF(ISNUMBER(SEARCH($C$4,I110)),12,0))</f>
        <v>12</v>
      </c>
      <c r="O110">
        <f t="shared" si="18"/>
        <v>13</v>
      </c>
      <c r="P110">
        <f t="shared" si="19"/>
        <v>10</v>
      </c>
      <c r="Q110">
        <f>IF($C$8="",4,IF(AND(ISNUMBER(G110),ISNUMBER(H110)),IF(AND($C$8&gt;=G110,$C$8&lt;=H110),7,0),4))</f>
        <v>4</v>
      </c>
      <c r="R110">
        <f t="shared" si="20"/>
        <v>52</v>
      </c>
      <c r="S110">
        <f>IF(OR(M110=0,W110=0),-A110,R110*100+D110+F110*0.5-A110*0.001)</f>
        <v>-76</v>
      </c>
      <c r="T110" t="str">
        <f>Treatments!M78</f>
        <v xml:space="preserve">Added  </v>
      </c>
      <c r="U110" t="s">
        <v>6</v>
      </c>
      <c r="V110">
        <f t="shared" si="21"/>
        <v>8</v>
      </c>
      <c r="W110">
        <f>IF(LEFT(Treatments!AD78,3)="Yes",1,0)</f>
        <v>1</v>
      </c>
      <c r="X110" t="str">
        <f>Treatments!AE78</f>
        <v>All crashes</v>
      </c>
      <c r="Y110">
        <f t="shared" si="22"/>
        <v>5</v>
      </c>
      <c r="Z110" t="str">
        <f>Treatments!AE78&amp;" / "&amp;Treatments!AF78</f>
        <v>All crashes / Only: Right turn</v>
      </c>
      <c r="AA110" t="e">
        <f>IF(Treatments!#REF!="","",Treatments!#REF!)</f>
        <v>#REF!</v>
      </c>
    </row>
    <row r="111" spans="1:27" hidden="1" x14ac:dyDescent="0.25">
      <c r="A111">
        <v>77</v>
      </c>
      <c r="B111" t="str">
        <f>Treatments!A79</f>
        <v>Change Right-Turn Lane Geometry To Increase Line Of Sight (Intersection Level)</v>
      </c>
      <c r="C111" t="str">
        <f>Treatments!B79</f>
        <v>CM: Dedicated Right- Lanes at Intersections</v>
      </c>
      <c r="D111">
        <f>Treatments!Q79</f>
        <v>44.2</v>
      </c>
      <c r="E111">
        <f>Treatments!P79</f>
        <v>0.55800000000000005</v>
      </c>
      <c r="F111">
        <f>IF(ISNUMBER(Treatments!N79),Treatments!N79,0)</f>
        <v>4</v>
      </c>
      <c r="G111" t="str">
        <f>IF(ISNUMBER(Treatments!U79),Treatments!U79,"")</f>
        <v/>
      </c>
      <c r="H111" t="str">
        <f>IF(ISNUMBER(Treatments!V79),Treatments!V79,"")</f>
        <v/>
      </c>
      <c r="I111" t="s">
        <v>54</v>
      </c>
      <c r="J111" t="s">
        <v>62</v>
      </c>
      <c r="K111" t="s">
        <v>6</v>
      </c>
      <c r="L111" t="s">
        <v>79</v>
      </c>
      <c r="M111">
        <f t="shared" si="17"/>
        <v>18</v>
      </c>
      <c r="N111">
        <f>IF(OR($C$4="Any",I111="All"),12,IF(ISNUMBER(SEARCH($C$4,I111)),12,0))</f>
        <v>12</v>
      </c>
      <c r="O111">
        <f t="shared" si="18"/>
        <v>13</v>
      </c>
      <c r="P111">
        <f t="shared" si="19"/>
        <v>10</v>
      </c>
      <c r="Q111">
        <f>IF($C$8="",4,IF(AND(ISNUMBER(G111),ISNUMBER(H111)),IF(AND($C$8&gt;=G111,$C$8&lt;=H111),7,0),4))</f>
        <v>4</v>
      </c>
      <c r="R111">
        <f t="shared" si="20"/>
        <v>70</v>
      </c>
      <c r="S111">
        <f>IF(OR(M111=0,W111=0),-A111,R111*100+D111+F111*0.5-A111*0.001)</f>
        <v>7046.1229999999996</v>
      </c>
      <c r="T111" t="str">
        <f>Treatments!M79</f>
        <v xml:space="preserve">Added  </v>
      </c>
      <c r="U111" t="s">
        <v>6</v>
      </c>
      <c r="V111">
        <f t="shared" si="21"/>
        <v>8</v>
      </c>
      <c r="W111">
        <f>IF(LEFT(Treatments!AD79,3)="Yes",1,0)</f>
        <v>1</v>
      </c>
      <c r="X111" t="str">
        <f>Treatments!AE79</f>
        <v>All crashes</v>
      </c>
      <c r="Y111">
        <f t="shared" si="22"/>
        <v>5</v>
      </c>
      <c r="Z111" t="str">
        <f>Treatments!AE79&amp;" / "&amp;Treatments!AF79</f>
        <v>All crashes / All crash types</v>
      </c>
      <c r="AA111" t="e">
        <f>IF(Treatments!#REF!="","",Treatments!#REF!)</f>
        <v>#REF!</v>
      </c>
    </row>
    <row r="112" spans="1:27" hidden="1" x14ac:dyDescent="0.25">
      <c r="A112">
        <v>78</v>
      </c>
      <c r="B112" t="str">
        <f>Treatments!A80</f>
        <v>Provide A Right-Turn Lane On Both Major-Road Approaches</v>
      </c>
      <c r="C112" t="str">
        <f>Treatments!B80</f>
        <v>CM: Dedicated Right- Lanes at Intersections</v>
      </c>
      <c r="D112">
        <f>Treatments!Q80</f>
        <v>26</v>
      </c>
      <c r="E112">
        <f>Treatments!P80</f>
        <v>0.74</v>
      </c>
      <c r="F112">
        <f>IF(ISNUMBER(Treatments!N80),Treatments!N80,0)</f>
        <v>4</v>
      </c>
      <c r="G112">
        <f>IF(ISNUMBER(Treatments!U80),Treatments!U80,"")</f>
        <v>1500</v>
      </c>
      <c r="H112">
        <f>IF(ISNUMBER(Treatments!V80),Treatments!V80,"")</f>
        <v>40600</v>
      </c>
      <c r="I112" t="s">
        <v>54</v>
      </c>
      <c r="J112" t="s">
        <v>62</v>
      </c>
      <c r="K112" t="s">
        <v>6</v>
      </c>
      <c r="L112" t="s">
        <v>79</v>
      </c>
      <c r="M112">
        <f t="shared" si="17"/>
        <v>18</v>
      </c>
      <c r="N112">
        <f>IF(OR($C$4="Any",I112="All"),12,IF(ISNUMBER(SEARCH($C$4,I112)),12,0))</f>
        <v>12</v>
      </c>
      <c r="O112">
        <f t="shared" si="18"/>
        <v>13</v>
      </c>
      <c r="P112">
        <f t="shared" si="19"/>
        <v>10</v>
      </c>
      <c r="Q112">
        <f>IF($C$8="",4,IF(AND(ISNUMBER(G112),ISNUMBER(H112)),IF(AND($C$8&gt;=G112,$C$8&lt;=H112),7,0),4))</f>
        <v>4</v>
      </c>
      <c r="R112">
        <f t="shared" si="20"/>
        <v>70</v>
      </c>
      <c r="S112">
        <f>IF(OR(M112=0,W112=0),-A112,R112*100+D112+F112*0.5-A112*0.001)</f>
        <v>7027.9219999999996</v>
      </c>
      <c r="T112" t="str">
        <f>Treatments!M80</f>
        <v xml:space="preserve">Added  </v>
      </c>
      <c r="U112" t="s">
        <v>6</v>
      </c>
      <c r="V112">
        <f t="shared" si="21"/>
        <v>8</v>
      </c>
      <c r="W112">
        <f>IF(LEFT(Treatments!AD80,3)="Yes",1,0)</f>
        <v>1</v>
      </c>
      <c r="X112" t="str">
        <f>Treatments!AE80</f>
        <v>All crashes</v>
      </c>
      <c r="Y112">
        <f t="shared" si="22"/>
        <v>5</v>
      </c>
      <c r="Z112" t="str">
        <f>Treatments!AE80&amp;" / "&amp;Treatments!AF80</f>
        <v>All crashes / All crash types</v>
      </c>
      <c r="AA112" t="e">
        <f>IF(Treatments!#REF!="","",Treatments!#REF!)</f>
        <v>#REF!</v>
      </c>
    </row>
    <row r="113" spans="1:27" hidden="1" x14ac:dyDescent="0.25">
      <c r="A113">
        <v>79</v>
      </c>
      <c r="B113" t="str">
        <f>Treatments!A81</f>
        <v>Provide A Right-Turn Lane On One Major-Road Approach</v>
      </c>
      <c r="C113" t="str">
        <f>Treatments!B81</f>
        <v>CM: Dedicated Right- Lanes at Intersections</v>
      </c>
      <c r="D113">
        <f>Treatments!Q81</f>
        <v>23</v>
      </c>
      <c r="E113">
        <f>Treatments!P81</f>
        <v>0.77</v>
      </c>
      <c r="F113">
        <f>IF(ISNUMBER(Treatments!N81),Treatments!N81,0)</f>
        <v>4</v>
      </c>
      <c r="G113">
        <f>IF(ISNUMBER(Treatments!U81),Treatments!U81,"")</f>
        <v>1500</v>
      </c>
      <c r="H113">
        <f>IF(ISNUMBER(Treatments!V81),Treatments!V81,"")</f>
        <v>40600</v>
      </c>
      <c r="I113" t="s">
        <v>54</v>
      </c>
      <c r="J113" t="s">
        <v>62</v>
      </c>
      <c r="K113" t="s">
        <v>6</v>
      </c>
      <c r="L113" t="s">
        <v>79</v>
      </c>
      <c r="M113">
        <f t="shared" si="17"/>
        <v>18</v>
      </c>
      <c r="N113">
        <f>IF(OR($C$4="Any",I113="All"),12,IF(ISNUMBER(SEARCH($C$4,I113)),12,0))</f>
        <v>12</v>
      </c>
      <c r="O113">
        <f t="shared" si="18"/>
        <v>13</v>
      </c>
      <c r="P113">
        <f t="shared" si="19"/>
        <v>10</v>
      </c>
      <c r="Q113">
        <f>IF($C$8="",4,IF(AND(ISNUMBER(G113),ISNUMBER(H113)),IF(AND($C$8&gt;=G113,$C$8&lt;=H113),7,0),4))</f>
        <v>4</v>
      </c>
      <c r="R113">
        <f t="shared" si="20"/>
        <v>70</v>
      </c>
      <c r="S113">
        <f>IF(OR(M113=0,W113=0),-A113,R113*100+D113+F113*0.5-A113*0.001)</f>
        <v>7024.9210000000003</v>
      </c>
      <c r="T113" t="str">
        <f>Treatments!M81</f>
        <v xml:space="preserve">Added  </v>
      </c>
      <c r="U113" t="s">
        <v>6</v>
      </c>
      <c r="V113">
        <f t="shared" si="21"/>
        <v>8</v>
      </c>
      <c r="W113">
        <f>IF(LEFT(Treatments!AD81,3)="Yes",1,0)</f>
        <v>1</v>
      </c>
      <c r="X113" t="str">
        <f>Treatments!AE81</f>
        <v>Fatal &amp; injury only</v>
      </c>
      <c r="Y113">
        <f t="shared" si="22"/>
        <v>5</v>
      </c>
      <c r="Z113" t="str">
        <f>Treatments!AE81&amp;" / "&amp;Treatments!AF81</f>
        <v>Fatal &amp; injury only / All crash types</v>
      </c>
      <c r="AA113" t="e">
        <f>IF(Treatments!#REF!="","",Treatments!#REF!)</f>
        <v>#REF!</v>
      </c>
    </row>
    <row r="114" spans="1:27" hidden="1" x14ac:dyDescent="0.25">
      <c r="A114">
        <v>80</v>
      </c>
      <c r="B114" t="str">
        <f>Treatments!A82</f>
        <v>Provide A Left-Turn Lane On One Major-Road Approach</v>
      </c>
      <c r="C114" t="str">
        <f>Treatments!B82</f>
        <v>CM: Dedicated Left- Lanes at Intersections</v>
      </c>
      <c r="D114">
        <f>Treatments!Q82</f>
        <v>28</v>
      </c>
      <c r="E114">
        <f>Treatments!P82</f>
        <v>0.72</v>
      </c>
      <c r="F114">
        <f>IF(ISNUMBER(Treatments!N82),Treatments!N82,0)</f>
        <v>4</v>
      </c>
      <c r="G114">
        <f>IF(ISNUMBER(Treatments!U82),Treatments!U82,"")</f>
        <v>1600</v>
      </c>
      <c r="H114">
        <f>IF(ISNUMBER(Treatments!V82),Treatments!V82,"")</f>
        <v>32400</v>
      </c>
      <c r="I114" t="s">
        <v>55</v>
      </c>
      <c r="J114" t="s">
        <v>62</v>
      </c>
      <c r="K114" t="s">
        <v>6</v>
      </c>
      <c r="L114" t="s">
        <v>81</v>
      </c>
      <c r="M114">
        <f t="shared" si="17"/>
        <v>18</v>
      </c>
      <c r="N114">
        <f>IF(OR($C$4="Any",I114="All"),12,IF(ISNUMBER(SEARCH($C$4,I114)),12,0))</f>
        <v>12</v>
      </c>
      <c r="O114">
        <f t="shared" si="18"/>
        <v>13</v>
      </c>
      <c r="P114">
        <f t="shared" si="19"/>
        <v>10</v>
      </c>
      <c r="Q114">
        <f>IF($C$8="",4,IF(AND(ISNUMBER(G114),ISNUMBER(H114)),IF(AND($C$8&gt;=G114,$C$8&lt;=H114),7,0),4))</f>
        <v>4</v>
      </c>
      <c r="R114">
        <f t="shared" si="20"/>
        <v>70</v>
      </c>
      <c r="S114">
        <f>IF(OR(M114=0,W114=0),-A114,R114*100+D114+F114*0.5-A114*0.001)</f>
        <v>7029.92</v>
      </c>
      <c r="T114" t="str">
        <f>Treatments!M82</f>
        <v xml:space="preserve">Original </v>
      </c>
      <c r="U114" t="s">
        <v>6</v>
      </c>
      <c r="V114">
        <f t="shared" si="21"/>
        <v>8</v>
      </c>
      <c r="W114">
        <f>IF(LEFT(Treatments!AD82,3)="Yes",1,0)</f>
        <v>1</v>
      </c>
      <c r="X114" t="str">
        <f>Treatments!AE82</f>
        <v>All crashes</v>
      </c>
      <c r="Y114">
        <f t="shared" si="22"/>
        <v>5</v>
      </c>
      <c r="Z114" t="str">
        <f>Treatments!AE82&amp;" / "&amp;Treatments!AF82</f>
        <v>All crashes / All crash types</v>
      </c>
      <c r="AA114" t="e">
        <f>IF(Treatments!#REF!="","",Treatments!#REF!)</f>
        <v>#REF!</v>
      </c>
    </row>
    <row r="115" spans="1:27" hidden="1" x14ac:dyDescent="0.25">
      <c r="A115">
        <v>81</v>
      </c>
      <c r="B115" t="str">
        <f>Treatments!A83</f>
        <v>Improve Left-Turn Lane Offset To Create Positive Offset</v>
      </c>
      <c r="C115" t="str">
        <f>Treatments!B83</f>
        <v>CM: Dedicated Left- Lanes at Intersections</v>
      </c>
      <c r="D115">
        <f>Treatments!Q83</f>
        <v>35.6</v>
      </c>
      <c r="E115">
        <f>Treatments!P83</f>
        <v>0.64400000000000002</v>
      </c>
      <c r="F115">
        <f>IF(ISNUMBER(Treatments!N83),Treatments!N83,0)</f>
        <v>3</v>
      </c>
      <c r="G115">
        <f>IF(ISNUMBER(Treatments!U83),Treatments!U83,"")</f>
        <v>7150</v>
      </c>
      <c r="H115">
        <f>IF(ISNUMBER(Treatments!V83),Treatments!V83,"")</f>
        <v>29200</v>
      </c>
      <c r="I115" t="s">
        <v>54</v>
      </c>
      <c r="J115" t="s">
        <v>62</v>
      </c>
      <c r="K115" t="s">
        <v>6</v>
      </c>
      <c r="L115" t="s">
        <v>81</v>
      </c>
      <c r="M115">
        <f t="shared" si="17"/>
        <v>18</v>
      </c>
      <c r="N115">
        <f>IF(OR($C$4="Any",I115="All"),12,IF(ISNUMBER(SEARCH($C$4,I115)),12,0))</f>
        <v>12</v>
      </c>
      <c r="O115">
        <f t="shared" si="18"/>
        <v>13</v>
      </c>
      <c r="P115">
        <f t="shared" si="19"/>
        <v>10</v>
      </c>
      <c r="Q115">
        <f>IF($C$8="",4,IF(AND(ISNUMBER(G115),ISNUMBER(H115)),IF(AND($C$8&gt;=G115,$C$8&lt;=H115),7,0),4))</f>
        <v>4</v>
      </c>
      <c r="R115">
        <f t="shared" si="20"/>
        <v>70</v>
      </c>
      <c r="S115">
        <f>IF(OR(M115=0,W115=0),-A115,R115*100+D115+F115*0.5-A115*0.001)</f>
        <v>7037.0190000000002</v>
      </c>
      <c r="T115" t="str">
        <f>Treatments!M83</f>
        <v xml:space="preserve">Original </v>
      </c>
      <c r="U115" t="s">
        <v>6</v>
      </c>
      <c r="V115">
        <f t="shared" si="21"/>
        <v>8</v>
      </c>
      <c r="W115">
        <f>IF(LEFT(Treatments!AD83,3)="Yes",1,0)</f>
        <v>1</v>
      </c>
      <c r="X115" t="str">
        <f>Treatments!AE83</f>
        <v>Fatal &amp; injury only</v>
      </c>
      <c r="Y115">
        <f t="shared" si="22"/>
        <v>5</v>
      </c>
      <c r="Z115" t="str">
        <f>Treatments!AE83&amp;" / "&amp;Treatments!AF83</f>
        <v>Fatal &amp; injury only / All crash types</v>
      </c>
      <c r="AA115" t="e">
        <f>IF(Treatments!#REF!="","",Treatments!#REF!)</f>
        <v>#REF!</v>
      </c>
    </row>
    <row r="116" spans="1:27" hidden="1" x14ac:dyDescent="0.25">
      <c r="A116">
        <v>82</v>
      </c>
      <c r="B116" t="str">
        <f>Treatments!A84</f>
        <v>Install Dual Left Turn Lanes (DLTLs)</v>
      </c>
      <c r="C116" t="str">
        <f>Treatments!B84</f>
        <v>CM: Dedicated Left- Lanes at Intersections</v>
      </c>
      <c r="D116">
        <f>Treatments!Q84</f>
        <v>5.6</v>
      </c>
      <c r="E116">
        <f>Treatments!P84</f>
        <v>0.94399999999999995</v>
      </c>
      <c r="F116">
        <f>IF(ISNUMBER(Treatments!N84),Treatments!N84,0)</f>
        <v>5</v>
      </c>
      <c r="G116">
        <f>IF(ISNUMBER(Treatments!U84),Treatments!U84,"")</f>
        <v>21000</v>
      </c>
      <c r="H116">
        <f>IF(ISNUMBER(Treatments!V84),Treatments!V84,"")</f>
        <v>69000</v>
      </c>
      <c r="I116" t="s">
        <v>54</v>
      </c>
      <c r="J116" t="s">
        <v>62</v>
      </c>
      <c r="K116" t="s">
        <v>6</v>
      </c>
      <c r="L116" t="s">
        <v>81</v>
      </c>
      <c r="M116">
        <f t="shared" si="17"/>
        <v>18</v>
      </c>
      <c r="N116">
        <f>IF(OR($C$4="Any",I116="All"),12,IF(ISNUMBER(SEARCH($C$4,I116)),12,0))</f>
        <v>12</v>
      </c>
      <c r="O116">
        <f t="shared" si="18"/>
        <v>13</v>
      </c>
      <c r="P116">
        <f t="shared" si="19"/>
        <v>10</v>
      </c>
      <c r="Q116">
        <f>IF($C$8="",4,IF(AND(ISNUMBER(G116),ISNUMBER(H116)),IF(AND($C$8&gt;=G116,$C$8&lt;=H116),7,0),4))</f>
        <v>4</v>
      </c>
      <c r="R116">
        <f t="shared" si="20"/>
        <v>70</v>
      </c>
      <c r="S116">
        <f>IF(OR(M116=0,W116=0),-A116,R116*100+D116+F116*0.5-A116*0.001)</f>
        <v>7008.018</v>
      </c>
      <c r="T116" t="str">
        <f>Treatments!M84</f>
        <v xml:space="preserve">Added  </v>
      </c>
      <c r="U116" t="s">
        <v>52</v>
      </c>
      <c r="V116">
        <f t="shared" si="21"/>
        <v>8</v>
      </c>
      <c r="W116">
        <f>IF(LEFT(Treatments!AD84,3)="Yes",1,0)</f>
        <v>1</v>
      </c>
      <c r="X116" t="str">
        <f>Treatments!AE84</f>
        <v>All crashes</v>
      </c>
      <c r="Y116">
        <f t="shared" si="22"/>
        <v>5</v>
      </c>
      <c r="Z116" t="str">
        <f>Treatments!AE84&amp;" / "&amp;Treatments!AF84</f>
        <v>All crashes / All crash types</v>
      </c>
      <c r="AA116" t="e">
        <f>IF(Treatments!#REF!="","",Treatments!#REF!)</f>
        <v>#REF!</v>
      </c>
    </row>
    <row r="117" spans="1:27" hidden="1" x14ac:dyDescent="0.25">
      <c r="A117">
        <v>83</v>
      </c>
      <c r="B117" t="str">
        <f>Treatments!A85</f>
        <v>Install Left-Turn Lane At Signalized Intersection</v>
      </c>
      <c r="C117" t="str">
        <f>Treatments!B85</f>
        <v>CM: Dedicated Left- Lanes at Intersections</v>
      </c>
      <c r="D117">
        <f>Treatments!Q85</f>
        <v>58.8</v>
      </c>
      <c r="E117">
        <f>Treatments!P85</f>
        <v>0.41199999999999998</v>
      </c>
      <c r="F117">
        <f>IF(ISNUMBER(Treatments!N85),Treatments!N85,0)</f>
        <v>4</v>
      </c>
      <c r="G117">
        <f>IF(ISNUMBER(Treatments!U85),Treatments!U85,"")</f>
        <v>2981</v>
      </c>
      <c r="H117">
        <f>IF(ISNUMBER(Treatments!V85),Treatments!V85,"")</f>
        <v>18248</v>
      </c>
      <c r="I117" t="s">
        <v>54</v>
      </c>
      <c r="J117" t="s">
        <v>62</v>
      </c>
      <c r="K117" t="s">
        <v>6</v>
      </c>
      <c r="L117" t="s">
        <v>82</v>
      </c>
      <c r="M117">
        <f t="shared" si="17"/>
        <v>0</v>
      </c>
      <c r="N117">
        <f>IF(OR($C$4="Any",I117="All"),12,IF(ISNUMBER(SEARCH($C$4,I117)),12,0))</f>
        <v>12</v>
      </c>
      <c r="O117">
        <f t="shared" si="18"/>
        <v>13</v>
      </c>
      <c r="P117">
        <f t="shared" si="19"/>
        <v>10</v>
      </c>
      <c r="Q117">
        <f>IF($C$8="",4,IF(AND(ISNUMBER(G117),ISNUMBER(H117)),IF(AND($C$8&gt;=G117,$C$8&lt;=H117),7,0),4))</f>
        <v>4</v>
      </c>
      <c r="R117">
        <f t="shared" si="20"/>
        <v>52</v>
      </c>
      <c r="S117">
        <f>IF(OR(M117=0,W117=0),-A117,R117*100+D117+F117*0.5-A117*0.001)</f>
        <v>-83</v>
      </c>
      <c r="T117" t="str">
        <f>Treatments!M85</f>
        <v xml:space="preserve">Added  </v>
      </c>
      <c r="U117" t="s">
        <v>6</v>
      </c>
      <c r="V117">
        <f t="shared" si="21"/>
        <v>8</v>
      </c>
      <c r="W117">
        <f>IF(LEFT(Treatments!AD85,3)="Yes",1,0)</f>
        <v>1</v>
      </c>
      <c r="X117" t="str">
        <f>Treatments!AE85</f>
        <v>All crashes</v>
      </c>
      <c r="Y117">
        <f t="shared" si="22"/>
        <v>5</v>
      </c>
      <c r="Z117" t="str">
        <f>Treatments!AE85&amp;" / "&amp;Treatments!AF85</f>
        <v>All crashes / Only: Rear end</v>
      </c>
      <c r="AA117" t="e">
        <f>IF(Treatments!#REF!="","",Treatments!#REF!)</f>
        <v>#REF!</v>
      </c>
    </row>
    <row r="118" spans="1:27" hidden="1" x14ac:dyDescent="0.25">
      <c r="A118">
        <v>84</v>
      </c>
      <c r="B118" t="str">
        <f>Treatments!A86</f>
        <v>Provide A Left-Turn Lane On Both Major-Road Approaches</v>
      </c>
      <c r="C118" t="str">
        <f>Treatments!B86</f>
        <v>CM: Dedicated Left- Lanes at Intersections</v>
      </c>
      <c r="D118">
        <f>Treatments!Q86</f>
        <v>58</v>
      </c>
      <c r="E118">
        <f>Treatments!P86</f>
        <v>0.42</v>
      </c>
      <c r="F118">
        <f>IF(ISNUMBER(Treatments!N86),Treatments!N86,0)</f>
        <v>4</v>
      </c>
      <c r="G118">
        <f>IF(ISNUMBER(Treatments!U86),Treatments!U86,"")</f>
        <v>1500</v>
      </c>
      <c r="H118">
        <f>IF(ISNUMBER(Treatments!V86),Treatments!V86,"")</f>
        <v>32400</v>
      </c>
      <c r="I118" t="s">
        <v>55</v>
      </c>
      <c r="J118" t="s">
        <v>62</v>
      </c>
      <c r="K118" t="s">
        <v>6</v>
      </c>
      <c r="L118" t="s">
        <v>81</v>
      </c>
      <c r="M118">
        <f t="shared" si="17"/>
        <v>18</v>
      </c>
      <c r="N118">
        <f>IF(OR($C$4="Any",I118="All"),12,IF(ISNUMBER(SEARCH($C$4,I118)),12,0))</f>
        <v>12</v>
      </c>
      <c r="O118">
        <f t="shared" si="18"/>
        <v>13</v>
      </c>
      <c r="P118">
        <f t="shared" si="19"/>
        <v>10</v>
      </c>
      <c r="Q118">
        <f>IF($C$8="",4,IF(AND(ISNUMBER(G118),ISNUMBER(H118)),IF(AND($C$8&gt;=G118,$C$8&lt;=H118),7,0),4))</f>
        <v>4</v>
      </c>
      <c r="R118">
        <f t="shared" si="20"/>
        <v>70</v>
      </c>
      <c r="S118">
        <f>IF(OR(M118=0,W118=0),-A118,R118*100+D118+F118*0.5-A118*0.001)</f>
        <v>7059.9160000000002</v>
      </c>
      <c r="T118" t="str">
        <f>Treatments!M86</f>
        <v xml:space="preserve">Added  </v>
      </c>
      <c r="U118" t="s">
        <v>6</v>
      </c>
      <c r="V118">
        <f t="shared" si="21"/>
        <v>8</v>
      </c>
      <c r="W118">
        <f>IF(LEFT(Treatments!AD86,3)="Yes",1,0)</f>
        <v>1</v>
      </c>
      <c r="X118" t="str">
        <f>Treatments!AE86</f>
        <v>Fatal &amp; injury only</v>
      </c>
      <c r="Y118">
        <f t="shared" si="22"/>
        <v>5</v>
      </c>
      <c r="Z118" t="str">
        <f>Treatments!AE86&amp;" / "&amp;Treatments!AF86</f>
        <v>Fatal &amp; injury only / All crash types</v>
      </c>
      <c r="AA118" t="e">
        <f>IF(Treatments!#REF!="","",Treatments!#REF!)</f>
        <v>#REF!</v>
      </c>
    </row>
    <row r="119" spans="1:27" hidden="1" x14ac:dyDescent="0.25">
      <c r="A119">
        <v>85</v>
      </c>
      <c r="B119" t="str">
        <f>Treatments!A87</f>
        <v>Provide A Left-Turn Lane On One Major-Road Approach</v>
      </c>
      <c r="C119" t="str">
        <f>Treatments!B87</f>
        <v>CM: Dedicated Left- Lanes at Intersections</v>
      </c>
      <c r="D119">
        <f>Treatments!Q87</f>
        <v>55</v>
      </c>
      <c r="E119">
        <f>Treatments!P87</f>
        <v>0.45</v>
      </c>
      <c r="F119">
        <f>IF(ISNUMBER(Treatments!N87),Treatments!N87,0)</f>
        <v>4</v>
      </c>
      <c r="G119">
        <f>IF(ISNUMBER(Treatments!U87),Treatments!U87,"")</f>
        <v>1600</v>
      </c>
      <c r="H119">
        <f>IF(ISNUMBER(Treatments!V87),Treatments!V87,"")</f>
        <v>32400</v>
      </c>
      <c r="I119" t="s">
        <v>55</v>
      </c>
      <c r="J119" t="s">
        <v>62</v>
      </c>
      <c r="K119" t="s">
        <v>6</v>
      </c>
      <c r="L119" t="s">
        <v>81</v>
      </c>
      <c r="M119">
        <f t="shared" si="17"/>
        <v>18</v>
      </c>
      <c r="N119">
        <f>IF(OR($C$4="Any",I119="All"),12,IF(ISNUMBER(SEARCH($C$4,I119)),12,0))</f>
        <v>12</v>
      </c>
      <c r="O119">
        <f t="shared" si="18"/>
        <v>13</v>
      </c>
      <c r="P119">
        <f t="shared" si="19"/>
        <v>10</v>
      </c>
      <c r="Q119">
        <f>IF($C$8="",4,IF(AND(ISNUMBER(G119),ISNUMBER(H119)),IF(AND($C$8&gt;=G119,$C$8&lt;=H119),7,0),4))</f>
        <v>4</v>
      </c>
      <c r="R119">
        <f t="shared" si="20"/>
        <v>70</v>
      </c>
      <c r="S119">
        <f>IF(OR(M119=0,W119=0),-A119,R119*100+D119+F119*0.5-A119*0.001)</f>
        <v>7056.915</v>
      </c>
      <c r="T119" t="str">
        <f>Treatments!M87</f>
        <v xml:space="preserve">Added  </v>
      </c>
      <c r="U119" t="s">
        <v>6</v>
      </c>
      <c r="V119">
        <f t="shared" si="21"/>
        <v>8</v>
      </c>
      <c r="W119">
        <f>IF(LEFT(Treatments!AD87,3)="Yes",1,0)</f>
        <v>1</v>
      </c>
      <c r="X119" t="str">
        <f>Treatments!AE87</f>
        <v>Fatal &amp; injury only</v>
      </c>
      <c r="Y119">
        <f t="shared" si="22"/>
        <v>5</v>
      </c>
      <c r="Z119" t="str">
        <f>Treatments!AE87&amp;" / "&amp;Treatments!AF87</f>
        <v>Fatal &amp; injury only / All crash types</v>
      </c>
      <c r="AA119" t="e">
        <f>IF(Treatments!#REF!="","",Treatments!#REF!)</f>
        <v>#REF!</v>
      </c>
    </row>
    <row r="120" spans="1:27" hidden="1" x14ac:dyDescent="0.25">
      <c r="A120">
        <v>86</v>
      </c>
      <c r="B120" t="str">
        <f>Treatments!A88</f>
        <v>Introducing Zero Or Positive Offset Left-Turn Lane On Crossing Roadway</v>
      </c>
      <c r="C120" t="str">
        <f>Treatments!B88</f>
        <v>CM: Dedicated Left- Lanes at Intersections</v>
      </c>
      <c r="D120">
        <f>Treatments!Q88</f>
        <v>26</v>
      </c>
      <c r="E120">
        <f>Treatments!P88</f>
        <v>0.74</v>
      </c>
      <c r="F120">
        <f>IF(ISNUMBER(Treatments!N88),Treatments!N88,0)</f>
        <v>4</v>
      </c>
      <c r="G120" t="str">
        <f>IF(ISNUMBER(Treatments!U88),Treatments!U88,"")</f>
        <v/>
      </c>
      <c r="H120" t="str">
        <f>IF(ISNUMBER(Treatments!V88),Treatments!V88,"")</f>
        <v/>
      </c>
      <c r="I120" t="s">
        <v>49</v>
      </c>
      <c r="J120" t="s">
        <v>62</v>
      </c>
      <c r="K120" t="s">
        <v>6</v>
      </c>
      <c r="L120" t="s">
        <v>82</v>
      </c>
      <c r="M120">
        <f t="shared" si="17"/>
        <v>0</v>
      </c>
      <c r="N120">
        <f>IF(OR($C$4="Any",I120="All"),12,IF(ISNUMBER(SEARCH($C$4,I120)),12,0))</f>
        <v>12</v>
      </c>
      <c r="O120">
        <f t="shared" si="18"/>
        <v>13</v>
      </c>
      <c r="P120">
        <f t="shared" si="19"/>
        <v>10</v>
      </c>
      <c r="Q120">
        <f>IF($C$8="",4,IF(AND(ISNUMBER(G120),ISNUMBER(H120)),IF(AND($C$8&gt;=G120,$C$8&lt;=H120),7,0),4))</f>
        <v>4</v>
      </c>
      <c r="R120">
        <f t="shared" si="20"/>
        <v>52</v>
      </c>
      <c r="S120">
        <f>IF(OR(M120=0,W120=0),-A120,R120*100+D120+F120*0.5-A120*0.001)</f>
        <v>-86</v>
      </c>
      <c r="T120" t="str">
        <f>Treatments!M88</f>
        <v xml:space="preserve">Added  </v>
      </c>
      <c r="U120" t="s">
        <v>6</v>
      </c>
      <c r="V120">
        <f t="shared" si="21"/>
        <v>8</v>
      </c>
      <c r="W120">
        <f>IF(LEFT(Treatments!AD88,3)="Yes",1,0)</f>
        <v>1</v>
      </c>
      <c r="X120" t="str">
        <f>Treatments!AE88</f>
        <v>All crashes</v>
      </c>
      <c r="Y120">
        <f t="shared" si="22"/>
        <v>5</v>
      </c>
      <c r="Z120" t="str">
        <f>Treatments!AE88&amp;" / "&amp;Treatments!AF88</f>
        <v>All crashes / Only: Angle</v>
      </c>
      <c r="AA120" t="e">
        <f>IF(Treatments!#REF!="","",Treatments!#REF!)</f>
        <v>#REF!</v>
      </c>
    </row>
    <row r="121" spans="1:27" hidden="1" x14ac:dyDescent="0.25">
      <c r="A121">
        <v>87</v>
      </c>
      <c r="B121" t="str">
        <f>Treatments!A89</f>
        <v>Install J-Turn Intersection</v>
      </c>
      <c r="C121" t="str">
        <f>Treatments!B89</f>
        <v>CM: Reduced Left-Turn Conflict Intersections</v>
      </c>
      <c r="D121">
        <f>Treatments!Q89</f>
        <v>53.7</v>
      </c>
      <c r="E121">
        <f>Treatments!P89</f>
        <v>0.46300000000000002</v>
      </c>
      <c r="F121">
        <f>IF(ISNUMBER(Treatments!N89),Treatments!N89,0)</f>
        <v>2</v>
      </c>
      <c r="G121">
        <f>IF(ISNUMBER(Treatments!U89),Treatments!U89,"")</f>
        <v>10326</v>
      </c>
      <c r="H121">
        <f>IF(ISNUMBER(Treatments!V89),Treatments!V89,"")</f>
        <v>26470</v>
      </c>
      <c r="I121" t="s">
        <v>55</v>
      </c>
      <c r="J121" t="s">
        <v>62</v>
      </c>
      <c r="K121" t="s">
        <v>6</v>
      </c>
      <c r="L121" t="s">
        <v>81</v>
      </c>
      <c r="M121">
        <f t="shared" si="17"/>
        <v>18</v>
      </c>
      <c r="N121">
        <f>IF(OR($C$4="Any",I121="All"),12,IF(ISNUMBER(SEARCH($C$4,I121)),12,0))</f>
        <v>12</v>
      </c>
      <c r="O121">
        <f t="shared" si="18"/>
        <v>13</v>
      </c>
      <c r="P121">
        <f t="shared" si="19"/>
        <v>10</v>
      </c>
      <c r="Q121">
        <f>IF($C$8="",4,IF(AND(ISNUMBER(G121),ISNUMBER(H121)),IF(AND($C$8&gt;=G121,$C$8&lt;=H121),7,0),4))</f>
        <v>4</v>
      </c>
      <c r="R121">
        <f t="shared" si="20"/>
        <v>70</v>
      </c>
      <c r="S121">
        <f>IF(OR(M121=0,W121=0),-A121,R121*100+D121+F121*0.5-A121*0.001)</f>
        <v>7054.6129999999994</v>
      </c>
      <c r="T121" t="str">
        <f>Treatments!M89</f>
        <v xml:space="preserve">Original </v>
      </c>
      <c r="U121" t="s">
        <v>52</v>
      </c>
      <c r="V121">
        <f t="shared" si="21"/>
        <v>8</v>
      </c>
      <c r="W121">
        <f>IF(LEFT(Treatments!AD89,3)="Yes",1,0)</f>
        <v>1</v>
      </c>
      <c r="X121" t="str">
        <f>Treatments!AE89</f>
        <v>Fatal &amp; injury only</v>
      </c>
      <c r="Y121">
        <f t="shared" si="22"/>
        <v>5</v>
      </c>
      <c r="Z121" t="str">
        <f>Treatments!AE89&amp;" / "&amp;Treatments!AF89</f>
        <v>Fatal &amp; injury only / All crash types</v>
      </c>
      <c r="AA121" t="e">
        <f>IF(Treatments!#REF!="","",Treatments!#REF!)</f>
        <v>#REF!</v>
      </c>
    </row>
    <row r="122" spans="1:27" hidden="1" x14ac:dyDescent="0.25">
      <c r="A122">
        <v>88</v>
      </c>
      <c r="B122" t="str">
        <f>Treatments!A90</f>
        <v>Convert A Conventional Signalized Intersection To A Signalized Superstreet</v>
      </c>
      <c r="C122" t="str">
        <f>Treatments!B90</f>
        <v>CM: Reduced Left-Turn Conflict Intersections</v>
      </c>
      <c r="D122">
        <f>Treatments!Q90</f>
        <v>22</v>
      </c>
      <c r="E122">
        <f>Treatments!P90</f>
        <v>0.78</v>
      </c>
      <c r="F122">
        <f>IF(ISNUMBER(Treatments!N90),Treatments!N90,0)</f>
        <v>3</v>
      </c>
      <c r="G122" t="str">
        <f>IF(ISNUMBER(Treatments!U90),Treatments!U90,"")</f>
        <v/>
      </c>
      <c r="H122" t="str">
        <f>IF(ISNUMBER(Treatments!V90),Treatments!V90,"")</f>
        <v/>
      </c>
      <c r="I122" t="s">
        <v>59</v>
      </c>
      <c r="J122" t="s">
        <v>62</v>
      </c>
      <c r="K122" t="s">
        <v>6</v>
      </c>
      <c r="L122" t="s">
        <v>81</v>
      </c>
      <c r="M122">
        <f t="shared" si="17"/>
        <v>18</v>
      </c>
      <c r="N122">
        <f>IF(OR($C$4="Any",I122="All"),12,IF(ISNUMBER(SEARCH($C$4,I122)),12,0))</f>
        <v>12</v>
      </c>
      <c r="O122">
        <f t="shared" si="18"/>
        <v>13</v>
      </c>
      <c r="P122">
        <f t="shared" si="19"/>
        <v>10</v>
      </c>
      <c r="Q122">
        <f>IF($C$8="",4,IF(AND(ISNUMBER(G122),ISNUMBER(H122)),IF(AND($C$8&gt;=G122,$C$8&lt;=H122),7,0),4))</f>
        <v>4</v>
      </c>
      <c r="R122">
        <f t="shared" si="20"/>
        <v>70</v>
      </c>
      <c r="S122">
        <f>IF(OR(M122=0,W122=0),-A122,R122*100+D122+F122*0.5-A122*0.001)</f>
        <v>7023.4120000000003</v>
      </c>
      <c r="T122" t="str">
        <f>Treatments!M90</f>
        <v xml:space="preserve">Original </v>
      </c>
      <c r="U122" t="s">
        <v>53</v>
      </c>
      <c r="V122">
        <f t="shared" si="21"/>
        <v>8</v>
      </c>
      <c r="W122">
        <f>IF(LEFT(Treatments!AD90,3)="Yes",1,0)</f>
        <v>1</v>
      </c>
      <c r="X122" t="str">
        <f>Treatments!AE90</f>
        <v>Fatal &amp; injury only</v>
      </c>
      <c r="Y122">
        <f t="shared" si="22"/>
        <v>5</v>
      </c>
      <c r="Z122" t="str">
        <f>Treatments!AE90&amp;" / "&amp;Treatments!AF90</f>
        <v>Fatal &amp; injury only / All crash types</v>
      </c>
      <c r="AA122" t="e">
        <f>IF(Treatments!#REF!="","",Treatments!#REF!)</f>
        <v>#REF!</v>
      </c>
    </row>
    <row r="123" spans="1:27" hidden="1" x14ac:dyDescent="0.25">
      <c r="A123">
        <v>89</v>
      </c>
      <c r="B123" t="str">
        <f>Treatments!A91</f>
        <v>Convert Intersection To Median U-Turn (Mut) Intersection</v>
      </c>
      <c r="C123" t="str">
        <f>Treatments!B91</f>
        <v>CM: Reduced Left-Turn Conflict Intersections</v>
      </c>
      <c r="D123">
        <f>Treatments!Q91</f>
        <v>29.7</v>
      </c>
      <c r="E123">
        <f>Treatments!P91</f>
        <v>0.70289999999999997</v>
      </c>
      <c r="F123">
        <f>IF(ISNUMBER(Treatments!N91),Treatments!N91,0)</f>
        <v>5</v>
      </c>
      <c r="G123">
        <f>IF(ISNUMBER(Treatments!U91),Treatments!U91,"")</f>
        <v>19267</v>
      </c>
      <c r="H123">
        <f>IF(ISNUMBER(Treatments!V91),Treatments!V91,"")</f>
        <v>72074</v>
      </c>
      <c r="I123" t="s">
        <v>59</v>
      </c>
      <c r="J123" t="s">
        <v>62</v>
      </c>
      <c r="K123" t="s">
        <v>6</v>
      </c>
      <c r="L123" t="s">
        <v>81</v>
      </c>
      <c r="M123">
        <f t="shared" si="17"/>
        <v>18</v>
      </c>
      <c r="N123">
        <f>IF(OR($C$4="Any",I123="All"),12,IF(ISNUMBER(SEARCH($C$4,I123)),12,0))</f>
        <v>12</v>
      </c>
      <c r="O123">
        <f t="shared" si="18"/>
        <v>13</v>
      </c>
      <c r="P123">
        <f t="shared" si="19"/>
        <v>10</v>
      </c>
      <c r="Q123">
        <f>IF($C$8="",4,IF(AND(ISNUMBER(G123),ISNUMBER(H123)),IF(AND($C$8&gt;=G123,$C$8&lt;=H123),7,0),4))</f>
        <v>4</v>
      </c>
      <c r="R123">
        <f t="shared" si="20"/>
        <v>70</v>
      </c>
      <c r="S123">
        <f>IF(OR(M123=0,W123=0),-A123,R123*100+D123+F123*0.5-A123*0.001)</f>
        <v>7032.1109999999999</v>
      </c>
      <c r="T123" t="str">
        <f>Treatments!M91</f>
        <v xml:space="preserve">Original </v>
      </c>
      <c r="U123" t="s">
        <v>6</v>
      </c>
      <c r="V123">
        <f t="shared" si="21"/>
        <v>8</v>
      </c>
      <c r="W123">
        <f>IF(LEFT(Treatments!AD91,3)="Yes",1,0)</f>
        <v>1</v>
      </c>
      <c r="X123" t="str">
        <f>Treatments!AE91</f>
        <v>Fatal &amp; injury only</v>
      </c>
      <c r="Y123">
        <f t="shared" si="22"/>
        <v>5</v>
      </c>
      <c r="Z123" t="str">
        <f>Treatments!AE91&amp;" / "&amp;Treatments!AF91</f>
        <v>Fatal &amp; injury only / All crash types</v>
      </c>
      <c r="AA123" t="e">
        <f>IF(Treatments!#REF!="","",Treatments!#REF!)</f>
        <v>#REF!</v>
      </c>
    </row>
    <row r="124" spans="1:27" hidden="1" x14ac:dyDescent="0.25">
      <c r="A124">
        <v>90</v>
      </c>
      <c r="B124" t="str">
        <f>Treatments!A92</f>
        <v>Convert A Conventional Signalized Intersection To A Continuous Flow Intersection (Cfi)</v>
      </c>
      <c r="C124" t="str">
        <f>Treatments!B92</f>
        <v>CM: Reduced Left-Turn Conflict Intersections</v>
      </c>
      <c r="D124">
        <f>Treatments!Q92</f>
        <v>29.4</v>
      </c>
      <c r="E124">
        <f>Treatments!P92</f>
        <v>0.70599999999999996</v>
      </c>
      <c r="F124">
        <f>IF(ISNUMBER(Treatments!N92),Treatments!N92,0)</f>
        <v>5</v>
      </c>
      <c r="G124">
        <f>IF(ISNUMBER(Treatments!U92),Treatments!U92,"")</f>
        <v>21740</v>
      </c>
      <c r="H124">
        <f>IF(ISNUMBER(Treatments!V92),Treatments!V92,"")</f>
        <v>64000</v>
      </c>
      <c r="I124" t="s">
        <v>54</v>
      </c>
      <c r="J124" t="s">
        <v>62</v>
      </c>
      <c r="K124" t="s">
        <v>6</v>
      </c>
      <c r="L124" t="s">
        <v>82</v>
      </c>
      <c r="M124">
        <f t="shared" si="17"/>
        <v>0</v>
      </c>
      <c r="N124">
        <f>IF(OR($C$4="Any",I124="All"),12,IF(ISNUMBER(SEARCH($C$4,I124)),12,0))</f>
        <v>12</v>
      </c>
      <c r="O124">
        <f t="shared" si="18"/>
        <v>13</v>
      </c>
      <c r="P124">
        <f t="shared" si="19"/>
        <v>10</v>
      </c>
      <c r="Q124">
        <f>IF($C$8="",4,IF(AND(ISNUMBER(G124),ISNUMBER(H124)),IF(AND($C$8&gt;=G124,$C$8&lt;=H124),7,0),4))</f>
        <v>4</v>
      </c>
      <c r="R124">
        <f t="shared" si="20"/>
        <v>52</v>
      </c>
      <c r="S124">
        <f>IF(OR(M124=0,W124=0),-A124,R124*100+D124+F124*0.5-A124*0.001)</f>
        <v>-90</v>
      </c>
      <c r="T124" t="str">
        <f>Treatments!M92</f>
        <v xml:space="preserve">Added  </v>
      </c>
      <c r="U124" t="s">
        <v>6</v>
      </c>
      <c r="V124">
        <f t="shared" si="21"/>
        <v>8</v>
      </c>
      <c r="W124">
        <f>IF(LEFT(Treatments!AD92,3)="Yes",1,0)</f>
        <v>1</v>
      </c>
      <c r="X124" t="str">
        <f>Treatments!AE92</f>
        <v>All crashes</v>
      </c>
      <c r="Y124">
        <f t="shared" si="22"/>
        <v>5</v>
      </c>
      <c r="Z124" t="str">
        <f>Treatments!AE92&amp;" / "&amp;Treatments!AF92</f>
        <v>All crashes / Only: Angle</v>
      </c>
      <c r="AA124" t="e">
        <f>IF(Treatments!#REF!="","",Treatments!#REF!)</f>
        <v>#REF!</v>
      </c>
    </row>
    <row r="125" spans="1:27" hidden="1" x14ac:dyDescent="0.25">
      <c r="A125">
        <v>91</v>
      </c>
      <c r="B125" t="str">
        <f>Treatments!A93</f>
        <v>Convert Intersection To Restricted Crossing U-Turn (RCUT) Intersection</v>
      </c>
      <c r="C125" t="str">
        <f>Treatments!B93</f>
        <v>CM: Reduced Left-Turn Conflict Intersections</v>
      </c>
      <c r="D125">
        <f>Treatments!Q93</f>
        <v>58</v>
      </c>
      <c r="E125">
        <f>Treatments!P93</f>
        <v>0.42</v>
      </c>
      <c r="F125">
        <f>IF(ISNUMBER(Treatments!N93),Treatments!N93,0)</f>
        <v>4</v>
      </c>
      <c r="G125">
        <f>IF(ISNUMBER(Treatments!U93),Treatments!U93,"")</f>
        <v>59833</v>
      </c>
      <c r="H125">
        <f>IF(ISNUMBER(Treatments!V93),Treatments!V93,"")</f>
        <v>59833</v>
      </c>
      <c r="I125" t="s">
        <v>54</v>
      </c>
      <c r="J125" t="s">
        <v>62</v>
      </c>
      <c r="K125" t="s">
        <v>6</v>
      </c>
      <c r="L125" t="s">
        <v>81</v>
      </c>
      <c r="M125">
        <f t="shared" si="17"/>
        <v>18</v>
      </c>
      <c r="N125">
        <f>IF(OR($C$4="Any",I125="All"),12,IF(ISNUMBER(SEARCH($C$4,I125)),12,0))</f>
        <v>12</v>
      </c>
      <c r="O125">
        <f t="shared" si="18"/>
        <v>13</v>
      </c>
      <c r="P125">
        <f t="shared" si="19"/>
        <v>10</v>
      </c>
      <c r="Q125">
        <f>IF($C$8="",4,IF(AND(ISNUMBER(G125),ISNUMBER(H125)),IF(AND($C$8&gt;=G125,$C$8&lt;=H125),7,0),4))</f>
        <v>4</v>
      </c>
      <c r="R125">
        <f t="shared" si="20"/>
        <v>70</v>
      </c>
      <c r="S125">
        <f>IF(OR(M125=0,W125=0),-A125,R125*100+D125+F125*0.5-A125*0.001)</f>
        <v>7059.9089999999997</v>
      </c>
      <c r="T125" t="str">
        <f>Treatments!M93</f>
        <v xml:space="preserve">Added  </v>
      </c>
      <c r="U125" t="s">
        <v>6</v>
      </c>
      <c r="V125">
        <f t="shared" si="21"/>
        <v>8</v>
      </c>
      <c r="W125">
        <f>IF(LEFT(Treatments!AD93,3)="Yes",1,0)</f>
        <v>1</v>
      </c>
      <c r="X125" t="str">
        <f>Treatments!AE93</f>
        <v>All crashes</v>
      </c>
      <c r="Y125">
        <f t="shared" si="22"/>
        <v>5</v>
      </c>
      <c r="Z125" t="str">
        <f>Treatments!AE93&amp;" / "&amp;Treatments!AF93</f>
        <v>All crashes / All crash types</v>
      </c>
      <c r="AA125" t="e">
        <f>IF(Treatments!#REF!="","",Treatments!#REF!)</f>
        <v>#REF!</v>
      </c>
    </row>
    <row r="126" spans="1:27" hidden="1" x14ac:dyDescent="0.25">
      <c r="A126">
        <v>92</v>
      </c>
      <c r="B126" t="str">
        <f>Treatments!A94</f>
        <v>Convert Intersection To Median U-Turn (MUT) Intersection</v>
      </c>
      <c r="C126" t="str">
        <f>Treatments!B94</f>
        <v>CM: Reduced Left-Turn Conflict Intersections</v>
      </c>
      <c r="D126">
        <f>Treatments!Q94</f>
        <v>82.8</v>
      </c>
      <c r="E126">
        <f>Treatments!P94</f>
        <v>0.1719</v>
      </c>
      <c r="F126">
        <f>IF(ISNUMBER(Treatments!N94),Treatments!N94,0)</f>
        <v>5</v>
      </c>
      <c r="G126">
        <f>IF(ISNUMBER(Treatments!U94),Treatments!U94,"")</f>
        <v>25512</v>
      </c>
      <c r="H126">
        <f>IF(ISNUMBER(Treatments!V94),Treatments!V94,"")</f>
        <v>85076</v>
      </c>
      <c r="I126" t="s">
        <v>59</v>
      </c>
      <c r="J126" t="s">
        <v>62</v>
      </c>
      <c r="K126" t="s">
        <v>6</v>
      </c>
      <c r="L126" t="s">
        <v>82</v>
      </c>
      <c r="M126">
        <f t="shared" si="17"/>
        <v>0</v>
      </c>
      <c r="N126">
        <f>IF(OR($C$4="Any",I126="All"),12,IF(ISNUMBER(SEARCH($C$4,I126)),12,0))</f>
        <v>12</v>
      </c>
      <c r="O126">
        <f t="shared" si="18"/>
        <v>13</v>
      </c>
      <c r="P126">
        <f t="shared" si="19"/>
        <v>10</v>
      </c>
      <c r="Q126">
        <f>IF($C$8="",4,IF(AND(ISNUMBER(G126),ISNUMBER(H126)),IF(AND($C$8&gt;=G126,$C$8&lt;=H126),7,0),4))</f>
        <v>4</v>
      </c>
      <c r="R126">
        <f t="shared" si="20"/>
        <v>52</v>
      </c>
      <c r="S126">
        <f>IF(OR(M126=0,W126=0),-A126,R126*100+D126+F126*0.5-A126*0.001)</f>
        <v>-92</v>
      </c>
      <c r="T126" t="str">
        <f>Treatments!M94</f>
        <v xml:space="preserve">Added  </v>
      </c>
      <c r="U126" t="s">
        <v>6</v>
      </c>
      <c r="V126">
        <f t="shared" si="21"/>
        <v>8</v>
      </c>
      <c r="W126">
        <f>IF(LEFT(Treatments!AD94,3)="Yes",1,0)</f>
        <v>1</v>
      </c>
      <c r="X126" t="str">
        <f>Treatments!AE94</f>
        <v>All crashes</v>
      </c>
      <c r="Y126">
        <f t="shared" si="22"/>
        <v>5</v>
      </c>
      <c r="Z126" t="str">
        <f>Treatments!AE94&amp;" / "&amp;Treatments!AF94</f>
        <v>All crashes / Only: Other</v>
      </c>
      <c r="AA126" t="e">
        <f>IF(Treatments!#REF!="","",Treatments!#REF!)</f>
        <v>#REF!</v>
      </c>
    </row>
    <row r="127" spans="1:27" hidden="1" x14ac:dyDescent="0.25">
      <c r="A127">
        <v>93</v>
      </c>
      <c r="B127" t="str">
        <f>Treatments!A95</f>
        <v>Change Permissive Left-Turn Phasing To Protected/Permissive</v>
      </c>
      <c r="C127" t="str">
        <f>Treatments!B95</f>
        <v>CM: Protected/Permissive Left-Turn Phasing</v>
      </c>
      <c r="D127">
        <f>Treatments!Q95</f>
        <v>13.8</v>
      </c>
      <c r="E127">
        <f>Treatments!P95</f>
        <v>0.86199999999999999</v>
      </c>
      <c r="F127">
        <f>IF(ISNUMBER(Treatments!N95),Treatments!N95,0)</f>
        <v>5</v>
      </c>
      <c r="G127">
        <f>IF(ISNUMBER(Treatments!U95),Treatments!U95,"")</f>
        <v>4857</v>
      </c>
      <c r="H127">
        <f>IF(ISNUMBER(Treatments!V95),Treatments!V95,"")</f>
        <v>74990</v>
      </c>
      <c r="I127" t="s">
        <v>49</v>
      </c>
      <c r="J127" t="s">
        <v>62</v>
      </c>
      <c r="K127" t="s">
        <v>63</v>
      </c>
      <c r="L127" t="s">
        <v>82</v>
      </c>
      <c r="M127">
        <f t="shared" si="17"/>
        <v>0</v>
      </c>
      <c r="N127">
        <f>IF(OR($C$4="Any",I127="All"),12,IF(ISNUMBER(SEARCH($C$4,I127)),12,0))</f>
        <v>12</v>
      </c>
      <c r="O127">
        <f t="shared" si="18"/>
        <v>13</v>
      </c>
      <c r="P127">
        <f t="shared" si="19"/>
        <v>10</v>
      </c>
      <c r="Q127">
        <f>IF($C$8="",4,IF(AND(ISNUMBER(G127),ISNUMBER(H127)),IF(AND($C$8&gt;=G127,$C$8&lt;=H127),7,0),4))</f>
        <v>4</v>
      </c>
      <c r="R127">
        <f t="shared" si="20"/>
        <v>52</v>
      </c>
      <c r="S127">
        <f>IF(OR(M127=0,W127=0),-A127,R127*100+D127+F127*0.5-A127*0.001)</f>
        <v>-93</v>
      </c>
      <c r="T127" t="str">
        <f>Treatments!M95</f>
        <v xml:space="preserve">Added  </v>
      </c>
      <c r="U127" t="s">
        <v>6</v>
      </c>
      <c r="V127">
        <f t="shared" si="21"/>
        <v>8</v>
      </c>
      <c r="W127">
        <f>IF(LEFT(Treatments!AD95,3)="Yes",1,0)</f>
        <v>1</v>
      </c>
      <c r="X127" t="str">
        <f>Treatments!AE95</f>
        <v>All crashes</v>
      </c>
      <c r="Y127">
        <f t="shared" si="22"/>
        <v>5</v>
      </c>
      <c r="Z127" t="str">
        <f>Treatments!AE95&amp;" / "&amp;Treatments!AF95</f>
        <v>All crashes / Only: Left turn</v>
      </c>
      <c r="AA127" t="e">
        <f>IF(Treatments!#REF!="","",Treatments!#REF!)</f>
        <v>#REF!</v>
      </c>
    </row>
    <row r="128" spans="1:27" hidden="1" x14ac:dyDescent="0.25">
      <c r="A128">
        <v>94</v>
      </c>
      <c r="B128" t="str">
        <f>Treatments!A96</f>
        <v>Change Permissive Left-Turn Phasing To Protected Only Or Protected/Permissive</v>
      </c>
      <c r="C128" t="str">
        <f>Treatments!B96</f>
        <v>CM: Protected/Permissive Left-Turn Phasing</v>
      </c>
      <c r="D128">
        <f>Treatments!Q96</f>
        <v>5.8</v>
      </c>
      <c r="E128">
        <f>Treatments!P96</f>
        <v>0.94199999999999995</v>
      </c>
      <c r="F128">
        <f>IF(ISNUMBER(Treatments!N96),Treatments!N96,0)</f>
        <v>5</v>
      </c>
      <c r="G128" t="str">
        <f>IF(ISNUMBER(Treatments!U96),Treatments!U96,"")</f>
        <v/>
      </c>
      <c r="H128" t="str">
        <f>IF(ISNUMBER(Treatments!V96),Treatments!V96,"")</f>
        <v/>
      </c>
      <c r="I128" t="s">
        <v>54</v>
      </c>
      <c r="J128" t="s">
        <v>62</v>
      </c>
      <c r="K128" t="s">
        <v>63</v>
      </c>
      <c r="L128" t="s">
        <v>82</v>
      </c>
      <c r="M128">
        <f t="shared" si="17"/>
        <v>0</v>
      </c>
      <c r="N128">
        <f>IF(OR($C$4="Any",I128="All"),12,IF(ISNUMBER(SEARCH($C$4,I128)),12,0))</f>
        <v>12</v>
      </c>
      <c r="O128">
        <f t="shared" si="18"/>
        <v>13</v>
      </c>
      <c r="P128">
        <f t="shared" si="19"/>
        <v>10</v>
      </c>
      <c r="Q128">
        <f>IF($C$8="",4,IF(AND(ISNUMBER(G128),ISNUMBER(H128)),IF(AND($C$8&gt;=G128,$C$8&lt;=H128),7,0),4))</f>
        <v>4</v>
      </c>
      <c r="R128">
        <f t="shared" si="20"/>
        <v>52</v>
      </c>
      <c r="S128">
        <f>IF(OR(M128=0,W128=0),-A128,R128*100+D128+F128*0.5-A128*0.001)</f>
        <v>-94</v>
      </c>
      <c r="T128" t="str">
        <f>Treatments!M96</f>
        <v xml:space="preserve">Added  </v>
      </c>
      <c r="U128" t="s">
        <v>6</v>
      </c>
      <c r="V128">
        <f t="shared" si="21"/>
        <v>8</v>
      </c>
      <c r="W128">
        <f>IF(LEFT(Treatments!AD96,3)="Yes",1,0)</f>
        <v>1</v>
      </c>
      <c r="X128" t="str">
        <f>Treatments!AE96</f>
        <v>Fatal &amp; injury only</v>
      </c>
      <c r="Y128">
        <f t="shared" si="22"/>
        <v>5</v>
      </c>
      <c r="Z128" t="str">
        <f>Treatments!AE96&amp;" / "&amp;Treatments!AF96</f>
        <v>Fatal &amp; injury only / Only: Other</v>
      </c>
      <c r="AA128" t="e">
        <f>IF(Treatments!#REF!="","",Treatments!#REF!)</f>
        <v>#REF!</v>
      </c>
    </row>
    <row r="129" spans="1:27" hidden="1" x14ac:dyDescent="0.25">
      <c r="A129">
        <v>95</v>
      </c>
      <c r="B129" t="str">
        <f>Treatments!A97</f>
        <v>Changing Left Turn Phasing From Protected-Permissive To Flashing Yellow Arrow (Fya)</v>
      </c>
      <c r="C129" t="str">
        <f>Treatments!B97</f>
        <v>CM: Protected/Permissive Left-Turn Phasing</v>
      </c>
      <c r="D129">
        <f>Treatments!Q97</f>
        <v>60</v>
      </c>
      <c r="E129">
        <f>Treatments!P97</f>
        <v>0.4</v>
      </c>
      <c r="F129">
        <f>IF(ISNUMBER(Treatments!N97),Treatments!N97,0)</f>
        <v>4</v>
      </c>
      <c r="G129" t="str">
        <f>IF(ISNUMBER(Treatments!U97),Treatments!U97,"")</f>
        <v/>
      </c>
      <c r="H129" t="str">
        <f>IF(ISNUMBER(Treatments!V97),Treatments!V97,"")</f>
        <v/>
      </c>
      <c r="I129" t="s">
        <v>59</v>
      </c>
      <c r="J129" t="s">
        <v>62</v>
      </c>
      <c r="K129" t="s">
        <v>63</v>
      </c>
      <c r="L129" t="s">
        <v>82</v>
      </c>
      <c r="M129">
        <f t="shared" si="17"/>
        <v>0</v>
      </c>
      <c r="N129">
        <f>IF(OR($C$4="Any",I129="All"),12,IF(ISNUMBER(SEARCH($C$4,I129)),12,0))</f>
        <v>12</v>
      </c>
      <c r="O129">
        <f t="shared" si="18"/>
        <v>13</v>
      </c>
      <c r="P129">
        <f t="shared" si="19"/>
        <v>10</v>
      </c>
      <c r="Q129">
        <f>IF($C$8="",4,IF(AND(ISNUMBER(G129),ISNUMBER(H129)),IF(AND($C$8&gt;=G129,$C$8&lt;=H129),7,0),4))</f>
        <v>4</v>
      </c>
      <c r="R129">
        <f t="shared" si="20"/>
        <v>52</v>
      </c>
      <c r="S129">
        <f>IF(OR(M129=0,W129=0),-A129,R129*100+D129+F129*0.5-A129*0.001)</f>
        <v>-95</v>
      </c>
      <c r="T129" t="str">
        <f>Treatments!M97</f>
        <v xml:space="preserve">Added  </v>
      </c>
      <c r="U129" t="s">
        <v>6</v>
      </c>
      <c r="V129">
        <f t="shared" si="21"/>
        <v>8</v>
      </c>
      <c r="W129">
        <f>IF(LEFT(Treatments!AD97,3)="Yes",1,0)</f>
        <v>1</v>
      </c>
      <c r="X129" t="str">
        <f>Treatments!AE97</f>
        <v>All crashes</v>
      </c>
      <c r="Y129">
        <f t="shared" si="22"/>
        <v>5</v>
      </c>
      <c r="Z129" t="str">
        <f>Treatments!AE97&amp;" / "&amp;Treatments!AF97</f>
        <v>All crashes / Only: Rear end</v>
      </c>
      <c r="AA129" t="e">
        <f>IF(Treatments!#REF!="","",Treatments!#REF!)</f>
        <v>#REF!</v>
      </c>
    </row>
    <row r="130" spans="1:27" hidden="1" x14ac:dyDescent="0.25">
      <c r="A130">
        <v>96</v>
      </c>
      <c r="B130" t="str">
        <f>Treatments!A98</f>
        <v>Changing Left Turn Phasing From At Least One Permissive Approach To Flashing Yellow Arrow (Fya)</v>
      </c>
      <c r="C130" t="str">
        <f>Treatments!B98</f>
        <v>CM: Protected/Permissive Left-Turn Phasing</v>
      </c>
      <c r="D130">
        <f>Treatments!Q98</f>
        <v>36.5</v>
      </c>
      <c r="E130">
        <f>Treatments!P98</f>
        <v>0.63500000000000001</v>
      </c>
      <c r="F130">
        <f>IF(ISNUMBER(Treatments!N98),Treatments!N98,0)</f>
        <v>4</v>
      </c>
      <c r="G130">
        <f>IF(ISNUMBER(Treatments!U98),Treatments!U98,"")</f>
        <v>8260</v>
      </c>
      <c r="H130">
        <f>IF(ISNUMBER(Treatments!V98),Treatments!V98,"")</f>
        <v>43000</v>
      </c>
      <c r="I130" t="s">
        <v>49</v>
      </c>
      <c r="J130" t="s">
        <v>62</v>
      </c>
      <c r="K130" t="s">
        <v>63</v>
      </c>
      <c r="L130" t="s">
        <v>82</v>
      </c>
      <c r="M130">
        <f t="shared" si="17"/>
        <v>0</v>
      </c>
      <c r="N130">
        <f>IF(OR($C$4="Any",I130="All"),12,IF(ISNUMBER(SEARCH($C$4,I130)),12,0))</f>
        <v>12</v>
      </c>
      <c r="O130">
        <f t="shared" si="18"/>
        <v>13</v>
      </c>
      <c r="P130">
        <f t="shared" si="19"/>
        <v>10</v>
      </c>
      <c r="Q130">
        <f>IF($C$8="",4,IF(AND(ISNUMBER(G130),ISNUMBER(H130)),IF(AND($C$8&gt;=G130,$C$8&lt;=H130),7,0),4))</f>
        <v>4</v>
      </c>
      <c r="R130">
        <f t="shared" si="20"/>
        <v>52</v>
      </c>
      <c r="S130">
        <f>IF(OR(M130=0,W130=0),-A130,R130*100+D130+F130*0.5-A130*0.001)</f>
        <v>-96</v>
      </c>
      <c r="T130" t="str">
        <f>Treatments!M98</f>
        <v xml:space="preserve">Added  </v>
      </c>
      <c r="U130" t="s">
        <v>6</v>
      </c>
      <c r="V130">
        <f t="shared" si="21"/>
        <v>8</v>
      </c>
      <c r="W130">
        <f>IF(LEFT(Treatments!AD98,3)="Yes",1,0)</f>
        <v>1</v>
      </c>
      <c r="X130" t="str">
        <f>Treatments!AE98</f>
        <v>All crashes</v>
      </c>
      <c r="Y130">
        <f t="shared" si="22"/>
        <v>5</v>
      </c>
      <c r="Z130" t="str">
        <f>Treatments!AE98&amp;" / "&amp;Treatments!AF98</f>
        <v>All crashes / Only: Left turn</v>
      </c>
      <c r="AA130" t="e">
        <f>IF(Treatments!#REF!="","",Treatments!#REF!)</f>
        <v>#REF!</v>
      </c>
    </row>
    <row r="131" spans="1:27" hidden="1" x14ac:dyDescent="0.25">
      <c r="A131">
        <v>97</v>
      </c>
      <c r="B131" t="str">
        <f>Treatments!A99</f>
        <v>Changing Left Turn Phasing On More Than One Approach From Permissive To Protected-Permissive</v>
      </c>
      <c r="C131" t="str">
        <f>Treatments!B99</f>
        <v>CM: Protected/Permissive Left-Turn Phasing</v>
      </c>
      <c r="D131">
        <f>Treatments!Q99</f>
        <v>21.3</v>
      </c>
      <c r="E131">
        <f>Treatments!P99</f>
        <v>0.78700000000000003</v>
      </c>
      <c r="F131">
        <f>IF(ISNUMBER(Treatments!N99),Treatments!N99,0)</f>
        <v>4</v>
      </c>
      <c r="G131">
        <f>IF(ISNUMBER(Treatments!U99),Treatments!U99,"")</f>
        <v>4857</v>
      </c>
      <c r="H131">
        <f>IF(ISNUMBER(Treatments!V99),Treatments!V99,"")</f>
        <v>74990</v>
      </c>
      <c r="I131" t="s">
        <v>49</v>
      </c>
      <c r="J131" t="s">
        <v>62</v>
      </c>
      <c r="K131" t="s">
        <v>63</v>
      </c>
      <c r="L131" t="s">
        <v>82</v>
      </c>
      <c r="M131">
        <f t="shared" ref="M131:M162" si="23">IF(ISNUMBER(SEARCH("|"&amp;$C$7&amp;"|",L131)),45,IF(ISNUMBER(SEARCH("|All|",L131)),18,0))</f>
        <v>0</v>
      </c>
      <c r="N131">
        <f>IF(OR($C$4="Any",I131="All"),12,IF(ISNUMBER(SEARCH($C$4,I131)),12,0))</f>
        <v>12</v>
      </c>
      <c r="O131">
        <f t="shared" ref="O131:O167" si="24">IF(OR($C$5="Any",J131="Any",J131=$C$5),13,0)</f>
        <v>13</v>
      </c>
      <c r="P131">
        <f t="shared" ref="P131:P167" si="25">IF(OR($C$6="Any",K131="Any",K131=$C$6),10,0)</f>
        <v>10</v>
      </c>
      <c r="Q131">
        <f>IF($C$8="",4,IF(AND(ISNUMBER(G131),ISNUMBER(H131)),IF(AND($C$8&gt;=G131,$C$8&lt;=H131),7,0),4))</f>
        <v>4</v>
      </c>
      <c r="R131">
        <f t="shared" ref="R131:R162" si="26">M131+N131+O131+P131+Q131+V131+Y131</f>
        <v>52</v>
      </c>
      <c r="S131">
        <f>IF(OR(M131=0,W131=0),-A131,R131*100+D131+F131*0.5-A131*0.001)</f>
        <v>-97</v>
      </c>
      <c r="T131" t="str">
        <f>Treatments!M99</f>
        <v xml:space="preserve">Added  </v>
      </c>
      <c r="U131" t="s">
        <v>6</v>
      </c>
      <c r="V131">
        <f t="shared" ref="V131:V162" si="27">IF(OR($C$11="Any",U131="Any",U131=$C$11),8,0)</f>
        <v>8</v>
      </c>
      <c r="W131">
        <f>IF(LEFT(Treatments!AD99,3)="Yes",1,0)</f>
        <v>1</v>
      </c>
      <c r="X131" t="str">
        <f>Treatments!AE99</f>
        <v>All crashes</v>
      </c>
      <c r="Y131">
        <f t="shared" ref="Y131:Y162" si="28">IF($C$12="Any",5,IF($C$12=X131,5,IF(AND($C$12="Fatal &amp; injury only",X131="All crashes"),3,0)))</f>
        <v>5</v>
      </c>
      <c r="Z131" t="str">
        <f>Treatments!AE99&amp;" / "&amp;Treatments!AF99</f>
        <v>All crashes / Only: Left turn</v>
      </c>
      <c r="AA131" t="e">
        <f>IF(Treatments!#REF!="","",Treatments!#REF!)</f>
        <v>#REF!</v>
      </c>
    </row>
    <row r="132" spans="1:27" hidden="1" x14ac:dyDescent="0.25">
      <c r="A132">
        <v>98</v>
      </c>
      <c r="B132" t="str">
        <f>Treatments!A100</f>
        <v>Install Left Turn Flashing Yellow Arrow Signals And Supplemental Traffic Signs</v>
      </c>
      <c r="C132" t="str">
        <f>Treatments!B100</f>
        <v>CM: Protected/Permissive Left-Turn Phasing</v>
      </c>
      <c r="D132">
        <f>Treatments!Q100</f>
        <v>14.3</v>
      </c>
      <c r="E132">
        <f>Treatments!P100</f>
        <v>0.85699999999999998</v>
      </c>
      <c r="F132">
        <f>IF(ISNUMBER(Treatments!N100),Treatments!N100,0)</f>
        <v>4</v>
      </c>
      <c r="G132">
        <f>IF(ISNUMBER(Treatments!U100),Treatments!U100,"")</f>
        <v>3250</v>
      </c>
      <c r="H132">
        <f>IF(ISNUMBER(Treatments!V100),Treatments!V100,"")</f>
        <v>37500</v>
      </c>
      <c r="I132" t="s">
        <v>49</v>
      </c>
      <c r="J132" t="s">
        <v>62</v>
      </c>
      <c r="K132" t="s">
        <v>63</v>
      </c>
      <c r="L132" t="s">
        <v>82</v>
      </c>
      <c r="M132">
        <f t="shared" si="23"/>
        <v>0</v>
      </c>
      <c r="N132">
        <f>IF(OR($C$4="Any",I132="All"),12,IF(ISNUMBER(SEARCH($C$4,I132)),12,0))</f>
        <v>12</v>
      </c>
      <c r="O132">
        <f t="shared" si="24"/>
        <v>13</v>
      </c>
      <c r="P132">
        <f t="shared" si="25"/>
        <v>10</v>
      </c>
      <c r="Q132">
        <f>IF($C$8="",4,IF(AND(ISNUMBER(G132),ISNUMBER(H132)),IF(AND($C$8&gt;=G132,$C$8&lt;=H132),7,0),4))</f>
        <v>4</v>
      </c>
      <c r="R132">
        <f t="shared" si="26"/>
        <v>52</v>
      </c>
      <c r="S132">
        <f>IF(OR(M132=0,W132=0),-A132,R132*100+D132+F132*0.5-A132*0.001)</f>
        <v>-98</v>
      </c>
      <c r="T132" t="str">
        <f>Treatments!M100</f>
        <v xml:space="preserve">Added  </v>
      </c>
      <c r="U132" t="s">
        <v>6</v>
      </c>
      <c r="V132">
        <f t="shared" si="27"/>
        <v>8</v>
      </c>
      <c r="W132">
        <f>IF(LEFT(Treatments!AD100,3)="Yes",1,0)</f>
        <v>1</v>
      </c>
      <c r="X132" t="str">
        <f>Treatments!AE100</f>
        <v>All crashes</v>
      </c>
      <c r="Y132">
        <f t="shared" si="28"/>
        <v>5</v>
      </c>
      <c r="Z132" t="str">
        <f>Treatments!AE100&amp;" / "&amp;Treatments!AF100</f>
        <v>All crashes / Only: Left turn</v>
      </c>
      <c r="AA132" t="e">
        <f>IF(Treatments!#REF!="","",Treatments!#REF!)</f>
        <v>#REF!</v>
      </c>
    </row>
    <row r="133" spans="1:27" hidden="1" x14ac:dyDescent="0.25">
      <c r="A133">
        <v>99</v>
      </c>
      <c r="B133" t="str">
        <f>Treatments!A101</f>
        <v>Conversion Of Stop-Controlled Intersection Into Single-Lane Roundabout</v>
      </c>
      <c r="C133" t="str">
        <f>Treatments!B101</f>
        <v>CM: Roundabouts</v>
      </c>
      <c r="D133">
        <f>Treatments!Q101</f>
        <v>82</v>
      </c>
      <c r="E133">
        <f>Treatments!P101</f>
        <v>0.18</v>
      </c>
      <c r="F133">
        <f>IF(ISNUMBER(Treatments!N101),Treatments!N101,0)</f>
        <v>4</v>
      </c>
      <c r="G133" t="str">
        <f>IF(ISNUMBER(Treatments!U101),Treatments!U101,"")</f>
        <v/>
      </c>
      <c r="H133" t="str">
        <f>IF(ISNUMBER(Treatments!V101),Treatments!V101,"")</f>
        <v/>
      </c>
      <c r="I133" t="s">
        <v>55</v>
      </c>
      <c r="J133" t="s">
        <v>62</v>
      </c>
      <c r="K133" t="s">
        <v>6</v>
      </c>
      <c r="L133" t="s">
        <v>83</v>
      </c>
      <c r="M133">
        <f t="shared" si="23"/>
        <v>18</v>
      </c>
      <c r="N133">
        <f>IF(OR($C$4="Any",I133="All"),12,IF(ISNUMBER(SEARCH($C$4,I133)),12,0))</f>
        <v>12</v>
      </c>
      <c r="O133">
        <f t="shared" si="24"/>
        <v>13</v>
      </c>
      <c r="P133">
        <f t="shared" si="25"/>
        <v>10</v>
      </c>
      <c r="Q133">
        <f>IF($C$8="",4,IF(AND(ISNUMBER(G133),ISNUMBER(H133)),IF(AND($C$8&gt;=G133,$C$8&lt;=H133),7,0),4))</f>
        <v>4</v>
      </c>
      <c r="R133">
        <f t="shared" si="26"/>
        <v>70</v>
      </c>
      <c r="S133">
        <f>IF(OR(M133=0,W133=0),-A133,R133*100+D133+F133*0.5-A133*0.001)</f>
        <v>7083.9009999999998</v>
      </c>
      <c r="T133" t="str">
        <f>Treatments!M101</f>
        <v xml:space="preserve">Original </v>
      </c>
      <c r="U133" t="s">
        <v>6</v>
      </c>
      <c r="V133">
        <f t="shared" si="27"/>
        <v>8</v>
      </c>
      <c r="W133">
        <f>IF(LEFT(Treatments!AD101,3)="Yes",1,0)</f>
        <v>1</v>
      </c>
      <c r="X133" t="str">
        <f>Treatments!AE101</f>
        <v>Fatal &amp; injury only</v>
      </c>
      <c r="Y133">
        <f t="shared" si="28"/>
        <v>5</v>
      </c>
      <c r="Z133" t="str">
        <f>Treatments!AE101&amp;" / "&amp;Treatments!AF101</f>
        <v>Fatal &amp; injury only / All crash types</v>
      </c>
      <c r="AA133" t="e">
        <f>IF(Treatments!#REF!="","",Treatments!#REF!)</f>
        <v>#REF!</v>
      </c>
    </row>
    <row r="134" spans="1:27" hidden="1" x14ac:dyDescent="0.25">
      <c r="A134">
        <v>100</v>
      </c>
      <c r="B134" t="str">
        <f>Treatments!A102</f>
        <v>Convert Signalized Intersection To Modern Roundabout</v>
      </c>
      <c r="C134" t="str">
        <f>Treatments!B102</f>
        <v>CM: Roundabouts</v>
      </c>
      <c r="D134">
        <f>Treatments!Q102</f>
        <v>78</v>
      </c>
      <c r="E134">
        <f>Treatments!P102</f>
        <v>0.22</v>
      </c>
      <c r="F134">
        <f>IF(ISNUMBER(Treatments!N102),Treatments!N102,0)</f>
        <v>3</v>
      </c>
      <c r="G134" t="str">
        <f>IF(ISNUMBER(Treatments!U102),Treatments!U102,"")</f>
        <v/>
      </c>
      <c r="H134" t="str">
        <f>IF(ISNUMBER(Treatments!V102),Treatments!V102,"")</f>
        <v/>
      </c>
      <c r="I134" t="s">
        <v>54</v>
      </c>
      <c r="J134" t="s">
        <v>62</v>
      </c>
      <c r="K134" t="s">
        <v>6</v>
      </c>
      <c r="L134" t="s">
        <v>83</v>
      </c>
      <c r="M134">
        <f t="shared" si="23"/>
        <v>18</v>
      </c>
      <c r="N134">
        <f>IF(OR($C$4="Any",I134="All"),12,IF(ISNUMBER(SEARCH($C$4,I134)),12,0))</f>
        <v>12</v>
      </c>
      <c r="O134">
        <f t="shared" si="24"/>
        <v>13</v>
      </c>
      <c r="P134">
        <f t="shared" si="25"/>
        <v>10</v>
      </c>
      <c r="Q134">
        <f>IF($C$8="",4,IF(AND(ISNUMBER(G134),ISNUMBER(H134)),IF(AND($C$8&gt;=G134,$C$8&lt;=H134),7,0),4))</f>
        <v>4</v>
      </c>
      <c r="R134">
        <f t="shared" si="26"/>
        <v>70</v>
      </c>
      <c r="S134">
        <f>IF(OR(M134=0,W134=0),-A134,R134*100+D134+F134*0.5-A134*0.001)</f>
        <v>7079.4</v>
      </c>
      <c r="T134" t="str">
        <f>Treatments!M102</f>
        <v xml:space="preserve">Original </v>
      </c>
      <c r="U134" t="s">
        <v>6</v>
      </c>
      <c r="V134">
        <f t="shared" si="27"/>
        <v>8</v>
      </c>
      <c r="W134">
        <f>IF(LEFT(Treatments!AD102,3)="Yes",1,0)</f>
        <v>1</v>
      </c>
      <c r="X134" t="str">
        <f>Treatments!AE102</f>
        <v>Fatal &amp; injury only</v>
      </c>
      <c r="Y134">
        <f t="shared" si="28"/>
        <v>5</v>
      </c>
      <c r="Z134" t="str">
        <f>Treatments!AE102&amp;" / "&amp;Treatments!AF102</f>
        <v>Fatal &amp; injury only / All crash types</v>
      </c>
      <c r="AA134" t="e">
        <f>IF(Treatments!#REF!="","",Treatments!#REF!)</f>
        <v>#REF!</v>
      </c>
    </row>
    <row r="135" spans="1:27" hidden="1" x14ac:dyDescent="0.25">
      <c r="A135">
        <v>101</v>
      </c>
      <c r="B135" t="str">
        <f>Treatments!A103</f>
        <v>Convert Signalized Intersection To Modern Roundabout</v>
      </c>
      <c r="C135" t="str">
        <f>Treatments!B103</f>
        <v>CM: Roundabouts</v>
      </c>
      <c r="D135">
        <f>Treatments!Q103</f>
        <v>74.099999999999994</v>
      </c>
      <c r="E135">
        <f>Treatments!P103</f>
        <v>0.25900000000000001</v>
      </c>
      <c r="F135">
        <f>IF(ISNUMBER(Treatments!N103),Treatments!N103,0)</f>
        <v>4</v>
      </c>
      <c r="G135">
        <f>IF(ISNUMBER(Treatments!U103),Treatments!U103,"")</f>
        <v>5322</v>
      </c>
      <c r="H135">
        <f>IF(ISNUMBER(Treatments!V103),Treatments!V103,"")</f>
        <v>43123</v>
      </c>
      <c r="I135" t="s">
        <v>59</v>
      </c>
      <c r="J135" t="s">
        <v>62</v>
      </c>
      <c r="K135" t="s">
        <v>6</v>
      </c>
      <c r="L135" t="s">
        <v>83</v>
      </c>
      <c r="M135">
        <f t="shared" si="23"/>
        <v>18</v>
      </c>
      <c r="N135">
        <f>IF(OR($C$4="Any",I135="All"),12,IF(ISNUMBER(SEARCH($C$4,I135)),12,0))</f>
        <v>12</v>
      </c>
      <c r="O135">
        <f t="shared" si="24"/>
        <v>13</v>
      </c>
      <c r="P135">
        <f t="shared" si="25"/>
        <v>10</v>
      </c>
      <c r="Q135">
        <f>IF($C$8="",4,IF(AND(ISNUMBER(G135),ISNUMBER(H135)),IF(AND($C$8&gt;=G135,$C$8&lt;=H135),7,0),4))</f>
        <v>4</v>
      </c>
      <c r="R135">
        <f t="shared" si="26"/>
        <v>70</v>
      </c>
      <c r="S135">
        <f>IF(OR(M135=0,W135=0),-A135,R135*100+D135+F135*0.5-A135*0.001)</f>
        <v>7075.9990000000007</v>
      </c>
      <c r="T135" t="str">
        <f>Treatments!M103</f>
        <v xml:space="preserve">Added  </v>
      </c>
      <c r="U135" t="s">
        <v>6</v>
      </c>
      <c r="V135">
        <f t="shared" si="27"/>
        <v>8</v>
      </c>
      <c r="W135">
        <f>IF(LEFT(Treatments!AD103,3)="Yes",1,0)</f>
        <v>1</v>
      </c>
      <c r="X135" t="str">
        <f>Treatments!AE103</f>
        <v>Fatal &amp; injury only</v>
      </c>
      <c r="Y135">
        <f t="shared" si="28"/>
        <v>5</v>
      </c>
      <c r="Z135" t="str">
        <f>Treatments!AE103&amp;" / "&amp;Treatments!AF103</f>
        <v>Fatal &amp; injury only / All crash types</v>
      </c>
      <c r="AA135" t="e">
        <f>IF(Treatments!#REF!="","",Treatments!#REF!)</f>
        <v>#REF!</v>
      </c>
    </row>
    <row r="136" spans="1:27" hidden="1" x14ac:dyDescent="0.25">
      <c r="A136">
        <v>102</v>
      </c>
      <c r="B136" t="str">
        <f>Treatments!A104</f>
        <v>Conversion Of Stop-Controlled Intersection To Mini Roundabout</v>
      </c>
      <c r="C136" t="str">
        <f>Treatments!B104</f>
        <v>CM: Roundabouts</v>
      </c>
      <c r="D136">
        <f>Treatments!Q104</f>
        <v>40.200000000000003</v>
      </c>
      <c r="E136">
        <f>Treatments!P104</f>
        <v>0.59770000000000001</v>
      </c>
      <c r="F136">
        <f>IF(ISNUMBER(Treatments!N104),Treatments!N104,0)</f>
        <v>4</v>
      </c>
      <c r="G136">
        <f>IF(ISNUMBER(Treatments!U104),Treatments!U104,"")</f>
        <v>643</v>
      </c>
      <c r="H136">
        <f>IF(ISNUMBER(Treatments!V104),Treatments!V104,"")</f>
        <v>15138</v>
      </c>
      <c r="I136" t="s">
        <v>59</v>
      </c>
      <c r="J136" t="s">
        <v>62</v>
      </c>
      <c r="K136" t="s">
        <v>6</v>
      </c>
      <c r="L136" t="s">
        <v>83</v>
      </c>
      <c r="M136">
        <f t="shared" si="23"/>
        <v>18</v>
      </c>
      <c r="N136">
        <f>IF(OR($C$4="Any",I136="All"),12,IF(ISNUMBER(SEARCH($C$4,I136)),12,0))</f>
        <v>12</v>
      </c>
      <c r="O136">
        <f t="shared" si="24"/>
        <v>13</v>
      </c>
      <c r="P136">
        <f t="shared" si="25"/>
        <v>10</v>
      </c>
      <c r="Q136">
        <f>IF($C$8="",4,IF(AND(ISNUMBER(G136),ISNUMBER(H136)),IF(AND($C$8&gt;=G136,$C$8&lt;=H136),7,0),4))</f>
        <v>4</v>
      </c>
      <c r="R136">
        <f t="shared" si="26"/>
        <v>70</v>
      </c>
      <c r="S136">
        <f>IF(OR(M136=0,W136=0),-A136,R136*100+D136+F136*0.5-A136*0.001)</f>
        <v>7042.098</v>
      </c>
      <c r="T136" t="str">
        <f>Treatments!M104</f>
        <v xml:space="preserve">Added  </v>
      </c>
      <c r="U136" t="s">
        <v>6</v>
      </c>
      <c r="V136">
        <f t="shared" si="27"/>
        <v>8</v>
      </c>
      <c r="W136">
        <f>IF(LEFT(Treatments!AD104,3)="Yes",1,0)</f>
        <v>1</v>
      </c>
      <c r="X136" t="str">
        <f>Treatments!AE104</f>
        <v>PDO only</v>
      </c>
      <c r="Y136">
        <f t="shared" si="28"/>
        <v>5</v>
      </c>
      <c r="Z136" t="str">
        <f>Treatments!AE104&amp;" / "&amp;Treatments!AF104</f>
        <v>PDO only / All crash types</v>
      </c>
      <c r="AA136" t="e">
        <f>IF(Treatments!#REF!="","",Treatments!#REF!)</f>
        <v>#REF!</v>
      </c>
    </row>
    <row r="137" spans="1:27" hidden="1" x14ac:dyDescent="0.25">
      <c r="A137">
        <v>103</v>
      </c>
      <c r="B137" t="str">
        <f>Treatments!A105</f>
        <v>Convert Intersection To Roundabout</v>
      </c>
      <c r="C137" t="str">
        <f>Treatments!B105</f>
        <v>CM: Roundabouts</v>
      </c>
      <c r="D137">
        <f>Treatments!Q105</f>
        <v>72</v>
      </c>
      <c r="E137">
        <f>Treatments!P105</f>
        <v>0.28000000000000003</v>
      </c>
      <c r="F137">
        <f>IF(ISNUMBER(Treatments!N105),Treatments!N105,0)</f>
        <v>5</v>
      </c>
      <c r="G137" t="str">
        <f>IF(ISNUMBER(Treatments!U105),Treatments!U105,"")</f>
        <v/>
      </c>
      <c r="H137" t="str">
        <f>IF(ISNUMBER(Treatments!V105),Treatments!V105,"")</f>
        <v/>
      </c>
      <c r="I137" t="s">
        <v>54</v>
      </c>
      <c r="J137" t="s">
        <v>62</v>
      </c>
      <c r="K137" t="s">
        <v>6</v>
      </c>
      <c r="L137" t="s">
        <v>83</v>
      </c>
      <c r="M137">
        <f t="shared" si="23"/>
        <v>18</v>
      </c>
      <c r="N137">
        <f>IF(OR($C$4="Any",I137="All"),12,IF(ISNUMBER(SEARCH($C$4,I137)),12,0))</f>
        <v>12</v>
      </c>
      <c r="O137">
        <f t="shared" si="24"/>
        <v>13</v>
      </c>
      <c r="P137">
        <f t="shared" si="25"/>
        <v>10</v>
      </c>
      <c r="Q137">
        <f>IF($C$8="",4,IF(AND(ISNUMBER(G137),ISNUMBER(H137)),IF(AND($C$8&gt;=G137,$C$8&lt;=H137),7,0),4))</f>
        <v>4</v>
      </c>
      <c r="R137">
        <f t="shared" si="26"/>
        <v>70</v>
      </c>
      <c r="S137">
        <f>IF(OR(M137=0,W137=0),-A137,R137*100+D137+F137*0.5-A137*0.001)</f>
        <v>7074.3969999999999</v>
      </c>
      <c r="T137" t="str">
        <f>Treatments!M105</f>
        <v xml:space="preserve">Added  </v>
      </c>
      <c r="U137" t="s">
        <v>6</v>
      </c>
      <c r="V137">
        <f t="shared" si="27"/>
        <v>8</v>
      </c>
      <c r="W137">
        <f>IF(LEFT(Treatments!AD105,3)="Yes",1,0)</f>
        <v>1</v>
      </c>
      <c r="X137" t="str">
        <f>Treatments!AE105</f>
        <v>Fatal &amp; injury only</v>
      </c>
      <c r="Y137">
        <f t="shared" si="28"/>
        <v>5</v>
      </c>
      <c r="Z137" t="str">
        <f>Treatments!AE105&amp;" / "&amp;Treatments!AF105</f>
        <v>Fatal &amp; injury only / All crash types</v>
      </c>
      <c r="AA137" t="e">
        <f>IF(Treatments!#REF!="","",Treatments!#REF!)</f>
        <v>#REF!</v>
      </c>
    </row>
    <row r="138" spans="1:27" hidden="1" x14ac:dyDescent="0.25">
      <c r="A138">
        <v>104</v>
      </c>
      <c r="B138" t="str">
        <f>Treatments!A106</f>
        <v>Conversion Of Intersection Into High-Speed Roundabout</v>
      </c>
      <c r="C138" t="str">
        <f>Treatments!B106</f>
        <v>CM: Roundabouts</v>
      </c>
      <c r="D138">
        <f>Treatments!Q106</f>
        <v>79</v>
      </c>
      <c r="E138">
        <f>Treatments!P106</f>
        <v>0.21</v>
      </c>
      <c r="F138">
        <f>IF(ISNUMBER(Treatments!N106),Treatments!N106,0)</f>
        <v>4</v>
      </c>
      <c r="G138">
        <f>IF(ISNUMBER(Treatments!U106),Treatments!U106,"")</f>
        <v>2000</v>
      </c>
      <c r="H138">
        <f>IF(ISNUMBER(Treatments!V106),Treatments!V106,"")</f>
        <v>12500</v>
      </c>
      <c r="I138" t="s">
        <v>54</v>
      </c>
      <c r="J138" t="s">
        <v>62</v>
      </c>
      <c r="K138" t="s">
        <v>6</v>
      </c>
      <c r="L138" t="s">
        <v>83</v>
      </c>
      <c r="M138">
        <f t="shared" si="23"/>
        <v>18</v>
      </c>
      <c r="N138">
        <f>IF(OR($C$4="Any",I138="All"),12,IF(ISNUMBER(SEARCH($C$4,I138)),12,0))</f>
        <v>12</v>
      </c>
      <c r="O138">
        <f t="shared" si="24"/>
        <v>13</v>
      </c>
      <c r="P138">
        <f t="shared" si="25"/>
        <v>10</v>
      </c>
      <c r="Q138">
        <f>IF($C$8="",4,IF(AND(ISNUMBER(G138),ISNUMBER(H138)),IF(AND($C$8&gt;=G138,$C$8&lt;=H138),7,0),4))</f>
        <v>4</v>
      </c>
      <c r="R138">
        <f t="shared" si="26"/>
        <v>70</v>
      </c>
      <c r="S138">
        <f>IF(OR(M138=0,W138=0),-A138,R138*100+D138+F138*0.5-A138*0.001)</f>
        <v>7080.8959999999997</v>
      </c>
      <c r="T138" t="str">
        <f>Treatments!M106</f>
        <v xml:space="preserve">Added  </v>
      </c>
      <c r="U138" t="s">
        <v>6</v>
      </c>
      <c r="V138">
        <f t="shared" si="27"/>
        <v>8</v>
      </c>
      <c r="W138">
        <f>IF(LEFT(Treatments!AD106,3)="Yes",1,0)</f>
        <v>1</v>
      </c>
      <c r="X138" t="str">
        <f>Treatments!AE106</f>
        <v>Fatal &amp; injury only</v>
      </c>
      <c r="Y138">
        <f t="shared" si="28"/>
        <v>5</v>
      </c>
      <c r="Z138" t="str">
        <f>Treatments!AE106&amp;" / "&amp;Treatments!AF106</f>
        <v>Fatal &amp; injury only / All crash types</v>
      </c>
      <c r="AA138" t="e">
        <f>IF(Treatments!#REF!="","",Treatments!#REF!)</f>
        <v>#REF!</v>
      </c>
    </row>
    <row r="139" spans="1:27" hidden="1" x14ac:dyDescent="0.25">
      <c r="A139">
        <v>105</v>
      </c>
      <c r="B139" t="str">
        <f>Treatments!A107</f>
        <v>Conversion Of Signalized Intersection Into Single- Or Multi-Lane Roundabout</v>
      </c>
      <c r="C139" t="str">
        <f>Treatments!B107</f>
        <v>CM: Roundabouts</v>
      </c>
      <c r="D139">
        <f>Treatments!Q107</f>
        <v>74</v>
      </c>
      <c r="E139">
        <f>Treatments!P107</f>
        <v>0.26</v>
      </c>
      <c r="F139">
        <f>IF(ISNUMBER(Treatments!N107),Treatments!N107,0)</f>
        <v>4</v>
      </c>
      <c r="G139" t="str">
        <f>IF(ISNUMBER(Treatments!U107),Treatments!U107,"")</f>
        <v/>
      </c>
      <c r="H139" t="str">
        <f>IF(ISNUMBER(Treatments!V107),Treatments!V107,"")</f>
        <v/>
      </c>
      <c r="I139" t="s">
        <v>49</v>
      </c>
      <c r="J139" t="s">
        <v>62</v>
      </c>
      <c r="K139" t="s">
        <v>6</v>
      </c>
      <c r="L139" t="s">
        <v>83</v>
      </c>
      <c r="M139">
        <f t="shared" si="23"/>
        <v>18</v>
      </c>
      <c r="N139">
        <f>IF(OR($C$4="Any",I139="All"),12,IF(ISNUMBER(SEARCH($C$4,I139)),12,0))</f>
        <v>12</v>
      </c>
      <c r="O139">
        <f t="shared" si="24"/>
        <v>13</v>
      </c>
      <c r="P139">
        <f t="shared" si="25"/>
        <v>10</v>
      </c>
      <c r="Q139">
        <f>IF($C$8="",4,IF(AND(ISNUMBER(G139),ISNUMBER(H139)),IF(AND($C$8&gt;=G139,$C$8&lt;=H139),7,0),4))</f>
        <v>4</v>
      </c>
      <c r="R139">
        <f t="shared" si="26"/>
        <v>70</v>
      </c>
      <c r="S139">
        <f>IF(OR(M139=0,W139=0),-A139,R139*100+D139+F139*0.5-A139*0.001)</f>
        <v>7075.8950000000004</v>
      </c>
      <c r="T139" t="str">
        <f>Treatments!M107</f>
        <v xml:space="preserve">Added  </v>
      </c>
      <c r="U139" t="s">
        <v>6</v>
      </c>
      <c r="V139">
        <f t="shared" si="27"/>
        <v>8</v>
      </c>
      <c r="W139">
        <f>IF(LEFT(Treatments!AD107,3)="Yes",1,0)</f>
        <v>1</v>
      </c>
      <c r="X139" t="str">
        <f>Treatments!AE107</f>
        <v>Fatal &amp; injury only</v>
      </c>
      <c r="Y139">
        <f t="shared" si="28"/>
        <v>5</v>
      </c>
      <c r="Z139" t="str">
        <f>Treatments!AE107&amp;" / "&amp;Treatments!AF107</f>
        <v>Fatal &amp; injury only / All crash types</v>
      </c>
      <c r="AA139" t="e">
        <f>IF(Treatments!#REF!="","",Treatments!#REF!)</f>
        <v>#REF!</v>
      </c>
    </row>
    <row r="140" spans="1:27" hidden="1" x14ac:dyDescent="0.25">
      <c r="A140">
        <v>106</v>
      </c>
      <c r="B140" t="str">
        <f>Treatments!A108</f>
        <v>Conversion Of Stop-Controlled Intersection Into Single-Lane Roundabout</v>
      </c>
      <c r="C140" t="str">
        <f>Treatments!B108</f>
        <v>CM: Roundabouts</v>
      </c>
      <c r="D140">
        <f>Treatments!Q108</f>
        <v>72</v>
      </c>
      <c r="E140">
        <f>Treatments!P108</f>
        <v>0.28000000000000003</v>
      </c>
      <c r="F140">
        <f>IF(ISNUMBER(Treatments!N108),Treatments!N108,0)</f>
        <v>4</v>
      </c>
      <c r="G140" t="str">
        <f>IF(ISNUMBER(Treatments!U108),Treatments!U108,"")</f>
        <v/>
      </c>
      <c r="H140" t="str">
        <f>IF(ISNUMBER(Treatments!V108),Treatments!V108,"")</f>
        <v/>
      </c>
      <c r="I140" t="s">
        <v>49</v>
      </c>
      <c r="J140" t="s">
        <v>62</v>
      </c>
      <c r="K140" t="s">
        <v>6</v>
      </c>
      <c r="L140" t="s">
        <v>83</v>
      </c>
      <c r="M140">
        <f t="shared" si="23"/>
        <v>18</v>
      </c>
      <c r="N140">
        <f>IF(OR($C$4="Any",I140="All"),12,IF(ISNUMBER(SEARCH($C$4,I140)),12,0))</f>
        <v>12</v>
      </c>
      <c r="O140">
        <f t="shared" si="24"/>
        <v>13</v>
      </c>
      <c r="P140">
        <f t="shared" si="25"/>
        <v>10</v>
      </c>
      <c r="Q140">
        <f>IF($C$8="",4,IF(AND(ISNUMBER(G140),ISNUMBER(H140)),IF(AND($C$8&gt;=G140,$C$8&lt;=H140),7,0),4))</f>
        <v>4</v>
      </c>
      <c r="R140">
        <f t="shared" si="26"/>
        <v>70</v>
      </c>
      <c r="S140">
        <f>IF(OR(M140=0,W140=0),-A140,R140*100+D140+F140*0.5-A140*0.001)</f>
        <v>7073.8940000000002</v>
      </c>
      <c r="T140" t="str">
        <f>Treatments!M108</f>
        <v xml:space="preserve">Added  </v>
      </c>
      <c r="U140" t="s">
        <v>6</v>
      </c>
      <c r="V140">
        <f t="shared" si="27"/>
        <v>8</v>
      </c>
      <c r="W140">
        <f>IF(LEFT(Treatments!AD108,3)="Yes",1,0)</f>
        <v>1</v>
      </c>
      <c r="X140" t="str">
        <f>Treatments!AE108</f>
        <v>All crashes</v>
      </c>
      <c r="Y140">
        <f t="shared" si="28"/>
        <v>5</v>
      </c>
      <c r="Z140" t="str">
        <f>Treatments!AE108&amp;" / "&amp;Treatments!AF108</f>
        <v>All crashes / All crash types</v>
      </c>
      <c r="AA140" t="e">
        <f>IF(Treatments!#REF!="","",Treatments!#REF!)</f>
        <v>#REF!</v>
      </c>
    </row>
    <row r="141" spans="1:27" hidden="1" x14ac:dyDescent="0.25">
      <c r="A141">
        <v>107</v>
      </c>
      <c r="B141" t="str">
        <f>Treatments!A109</f>
        <v>Convert Minor-Road Stop Control To All-Way Stop Control</v>
      </c>
      <c r="C141" t="str">
        <f>Treatments!B109</f>
        <v>CM: Convert Minor-Road Stop to All-Way Stop Control</v>
      </c>
      <c r="D141">
        <f>Treatments!Q109</f>
        <v>75</v>
      </c>
      <c r="E141">
        <f>Treatments!P109</f>
        <v>0.25</v>
      </c>
      <c r="F141">
        <f>IF(ISNUMBER(Treatments!N109),Treatments!N109,0)</f>
        <v>4</v>
      </c>
      <c r="G141" t="str">
        <f>IF(ISNUMBER(Treatments!U109),Treatments!U109,"")</f>
        <v/>
      </c>
      <c r="H141" t="str">
        <f>IF(ISNUMBER(Treatments!V109),Treatments!V109,"")</f>
        <v/>
      </c>
      <c r="I141" t="s">
        <v>49</v>
      </c>
      <c r="J141" t="s">
        <v>62</v>
      </c>
      <c r="K141" t="s">
        <v>84</v>
      </c>
      <c r="L141" t="s">
        <v>85</v>
      </c>
      <c r="M141">
        <f t="shared" si="23"/>
        <v>0</v>
      </c>
      <c r="N141">
        <f>IF(OR($C$4="Any",I141="All"),12,IF(ISNUMBER(SEARCH($C$4,I141)),12,0))</f>
        <v>12</v>
      </c>
      <c r="O141">
        <f t="shared" si="24"/>
        <v>13</v>
      </c>
      <c r="P141">
        <f t="shared" si="25"/>
        <v>10</v>
      </c>
      <c r="Q141">
        <f>IF($C$8="",4,IF(AND(ISNUMBER(G141),ISNUMBER(H141)),IF(AND($C$8&gt;=G141,$C$8&lt;=H141),7,0),4))</f>
        <v>4</v>
      </c>
      <c r="R141">
        <f t="shared" si="26"/>
        <v>52</v>
      </c>
      <c r="S141">
        <f>IF(OR(M141=0,W141=0),-A141,R141*100+D141+F141*0.5-A141*0.001)</f>
        <v>-107</v>
      </c>
      <c r="T141" t="str">
        <f>Treatments!M109</f>
        <v xml:space="preserve">Added  </v>
      </c>
      <c r="U141" t="s">
        <v>6</v>
      </c>
      <c r="V141">
        <f t="shared" si="27"/>
        <v>8</v>
      </c>
      <c r="W141">
        <f>IF(LEFT(Treatments!AD109,3)="Yes",1,0)</f>
        <v>1</v>
      </c>
      <c r="X141" t="str">
        <f>Treatments!AE109</f>
        <v>All crashes</v>
      </c>
      <c r="Y141">
        <f t="shared" si="28"/>
        <v>5</v>
      </c>
      <c r="Z141" t="str">
        <f>Treatments!AE109&amp;" / "&amp;Treatments!AF109</f>
        <v>All crashes / Only: Angle</v>
      </c>
      <c r="AA141" t="e">
        <f>IF(Treatments!#REF!="","",Treatments!#REF!)</f>
        <v>#REF!</v>
      </c>
    </row>
    <row r="142" spans="1:27" hidden="1" x14ac:dyDescent="0.25">
      <c r="A142">
        <v>108</v>
      </c>
      <c r="B142" t="str">
        <f>Treatments!A110</f>
        <v>Install An Intersection Conflict Warning System (ICWS) With Post Mounted Signs (Various Messages) And Flashers In Advance Of The Intersection On Major; Loop On Minor</v>
      </c>
      <c r="C142" t="str">
        <f>Treatments!B110</f>
        <v>CM: Intersection Conflict Warning Systems (ICWS)</v>
      </c>
      <c r="D142">
        <f>Treatments!Q110</f>
        <v>48.1</v>
      </c>
      <c r="E142">
        <f>Treatments!P110</f>
        <v>0.51900000000000002</v>
      </c>
      <c r="F142">
        <f>IF(ISNUMBER(Treatments!N110),Treatments!N110,0)</f>
        <v>5</v>
      </c>
      <c r="G142" t="str">
        <f>IF(ISNUMBER(Treatments!U110),Treatments!U110,"")</f>
        <v/>
      </c>
      <c r="H142" t="str">
        <f>IF(ISNUMBER(Treatments!V110),Treatments!V110,"")</f>
        <v/>
      </c>
      <c r="I142" t="s">
        <v>55</v>
      </c>
      <c r="J142" t="s">
        <v>62</v>
      </c>
      <c r="K142" t="s">
        <v>84</v>
      </c>
      <c r="L142" t="s">
        <v>86</v>
      </c>
      <c r="M142">
        <f t="shared" si="23"/>
        <v>18</v>
      </c>
      <c r="N142">
        <f>IF(OR($C$4="Any",I142="All"),12,IF(ISNUMBER(SEARCH($C$4,I142)),12,0))</f>
        <v>12</v>
      </c>
      <c r="O142">
        <f t="shared" si="24"/>
        <v>13</v>
      </c>
      <c r="P142">
        <f t="shared" si="25"/>
        <v>10</v>
      </c>
      <c r="Q142">
        <f>IF($C$8="",4,IF(AND(ISNUMBER(G142),ISNUMBER(H142)),IF(AND($C$8&gt;=G142,$C$8&lt;=H142),7,0),4))</f>
        <v>4</v>
      </c>
      <c r="R142">
        <f t="shared" si="26"/>
        <v>70</v>
      </c>
      <c r="S142">
        <f>IF(OR(M142=0,W142=0),-A142,R142*100+D142+F142*0.5-A142*0.001)</f>
        <v>7050.4920000000002</v>
      </c>
      <c r="T142" t="str">
        <f>Treatments!M110</f>
        <v xml:space="preserve">Added  </v>
      </c>
      <c r="U142" t="s">
        <v>6</v>
      </c>
      <c r="V142">
        <f t="shared" si="27"/>
        <v>8</v>
      </c>
      <c r="W142">
        <f>IF(LEFT(Treatments!AD110,3)="Yes",1,0)</f>
        <v>1</v>
      </c>
      <c r="X142" t="str">
        <f>Treatments!AE110</f>
        <v>All crashes</v>
      </c>
      <c r="Y142">
        <f t="shared" si="28"/>
        <v>5</v>
      </c>
      <c r="Z142" t="str">
        <f>Treatments!AE110&amp;" / "&amp;Treatments!AF110</f>
        <v>All crashes / All crash types</v>
      </c>
      <c r="AA142" t="e">
        <f>IF(Treatments!#REF!="","",Treatments!#REF!)</f>
        <v>#REF!</v>
      </c>
    </row>
    <row r="143" spans="1:27" hidden="1" x14ac:dyDescent="0.25">
      <c r="A143">
        <v>109</v>
      </c>
      <c r="B143" t="str">
        <f>Treatments!A111</f>
        <v>Install Intersection Conflict Warning Systems (ICWS) For Two-Lane At Two-Lane Intersections</v>
      </c>
      <c r="C143" t="str">
        <f>Treatments!B111</f>
        <v>CM: Intersection Conflict Warning Systems (ICWS)</v>
      </c>
      <c r="D143">
        <f>Treatments!Q111</f>
        <v>31</v>
      </c>
      <c r="E143">
        <f>Treatments!P111</f>
        <v>0.69</v>
      </c>
      <c r="F143">
        <f>IF(ISNUMBER(Treatments!N111),Treatments!N111,0)</f>
        <v>5</v>
      </c>
      <c r="G143" t="str">
        <f>IF(ISNUMBER(Treatments!U111),Treatments!U111,"")</f>
        <v/>
      </c>
      <c r="H143" t="str">
        <f>IF(ISNUMBER(Treatments!V111),Treatments!V111,"")</f>
        <v/>
      </c>
      <c r="I143" t="s">
        <v>55</v>
      </c>
      <c r="J143" t="s">
        <v>62</v>
      </c>
      <c r="K143" t="s">
        <v>84</v>
      </c>
      <c r="L143" t="s">
        <v>86</v>
      </c>
      <c r="M143">
        <f t="shared" si="23"/>
        <v>18</v>
      </c>
      <c r="N143">
        <f>IF(OR($C$4="Any",I143="All"),12,IF(ISNUMBER(SEARCH($C$4,I143)),12,0))</f>
        <v>12</v>
      </c>
      <c r="O143">
        <f t="shared" si="24"/>
        <v>13</v>
      </c>
      <c r="P143">
        <f t="shared" si="25"/>
        <v>10</v>
      </c>
      <c r="Q143">
        <f>IF($C$8="",4,IF(AND(ISNUMBER(G143),ISNUMBER(H143)),IF(AND($C$8&gt;=G143,$C$8&lt;=H143),7,0),4))</f>
        <v>4</v>
      </c>
      <c r="R143">
        <f t="shared" si="26"/>
        <v>70</v>
      </c>
      <c r="S143">
        <f>IF(OR(M143=0,W143=0),-A143,R143*100+D143+F143*0.5-A143*0.001)</f>
        <v>7033.3909999999996</v>
      </c>
      <c r="T143" t="str">
        <f>Treatments!M111</f>
        <v xml:space="preserve">Added  </v>
      </c>
      <c r="U143" t="s">
        <v>6</v>
      </c>
      <c r="V143">
        <f t="shared" si="27"/>
        <v>8</v>
      </c>
      <c r="W143">
        <f>IF(LEFT(Treatments!AD111,3)="Yes",1,0)</f>
        <v>1</v>
      </c>
      <c r="X143" t="str">
        <f>Treatments!AE111</f>
        <v>Fatal &amp; injury only</v>
      </c>
      <c r="Y143">
        <f t="shared" si="28"/>
        <v>5</v>
      </c>
      <c r="Z143" t="str">
        <f>Treatments!AE111&amp;" / "&amp;Treatments!AF111</f>
        <v>Fatal &amp; injury only / All crash types</v>
      </c>
      <c r="AA143" t="e">
        <f>IF(Treatments!#REF!="","",Treatments!#REF!)</f>
        <v>#REF!</v>
      </c>
    </row>
    <row r="144" spans="1:27" hidden="1" x14ac:dyDescent="0.25">
      <c r="A144">
        <v>110</v>
      </c>
      <c r="B144" t="str">
        <f>Treatments!A112</f>
        <v>Install An Intersection Conflict Warning System (ICWS) With A Combination Of Overhead And Advanced Post Mounted Signs (Various Messages) And Flashers</v>
      </c>
      <c r="C144" t="str">
        <f>Treatments!B112</f>
        <v>CM: Intersection Conflict Warning Systems (ICWS)</v>
      </c>
      <c r="D144">
        <f>Treatments!Q112</f>
        <v>29.6</v>
      </c>
      <c r="E144">
        <f>Treatments!P112</f>
        <v>0.70399999999999996</v>
      </c>
      <c r="F144">
        <f>IF(ISNUMBER(Treatments!N112),Treatments!N112,0)</f>
        <v>5</v>
      </c>
      <c r="G144" t="str">
        <f>IF(ISNUMBER(Treatments!U112),Treatments!U112,"")</f>
        <v/>
      </c>
      <c r="H144" t="str">
        <f>IF(ISNUMBER(Treatments!V112),Treatments!V112,"")</f>
        <v/>
      </c>
      <c r="I144" t="s">
        <v>55</v>
      </c>
      <c r="J144" t="s">
        <v>62</v>
      </c>
      <c r="K144" t="s">
        <v>84</v>
      </c>
      <c r="L144" t="s">
        <v>86</v>
      </c>
      <c r="M144">
        <f t="shared" si="23"/>
        <v>18</v>
      </c>
      <c r="N144">
        <f>IF(OR($C$4="Any",I144="All"),12,IF(ISNUMBER(SEARCH($C$4,I144)),12,0))</f>
        <v>12</v>
      </c>
      <c r="O144">
        <f t="shared" si="24"/>
        <v>13</v>
      </c>
      <c r="P144">
        <f t="shared" si="25"/>
        <v>10</v>
      </c>
      <c r="Q144">
        <f>IF($C$8="",4,IF(AND(ISNUMBER(G144),ISNUMBER(H144)),IF(AND($C$8&gt;=G144,$C$8&lt;=H144),7,0),4))</f>
        <v>4</v>
      </c>
      <c r="R144">
        <f t="shared" si="26"/>
        <v>70</v>
      </c>
      <c r="S144">
        <f>IF(OR(M144=0,W144=0),-A144,R144*100+D144+F144*0.5-A144*0.001)</f>
        <v>7031.9900000000007</v>
      </c>
      <c r="T144" t="str">
        <f>Treatments!M112</f>
        <v xml:space="preserve">Added  </v>
      </c>
      <c r="U144" t="s">
        <v>6</v>
      </c>
      <c r="V144">
        <f t="shared" si="27"/>
        <v>8</v>
      </c>
      <c r="W144">
        <f>IF(LEFT(Treatments!AD112,3)="Yes",1,0)</f>
        <v>1</v>
      </c>
      <c r="X144" t="str">
        <f>Treatments!AE112</f>
        <v>All crashes</v>
      </c>
      <c r="Y144">
        <f t="shared" si="28"/>
        <v>5</v>
      </c>
      <c r="Z144" t="str">
        <f>Treatments!AE112&amp;" / "&amp;Treatments!AF112</f>
        <v>All crashes / All crash types</v>
      </c>
      <c r="AA144" t="e">
        <f>IF(Treatments!#REF!="","",Treatments!#REF!)</f>
        <v>#REF!</v>
      </c>
    </row>
    <row r="145" spans="1:27" hidden="1" x14ac:dyDescent="0.25">
      <c r="A145">
        <v>111</v>
      </c>
      <c r="B145" t="str">
        <f>Treatments!A113</f>
        <v>Install Intersection Conflict Warning Systems (ICWS) For Four-Lane At Two-Lane Intersections</v>
      </c>
      <c r="C145" t="str">
        <f>Treatments!B113</f>
        <v>CM: Intersection Conflict Warning Systems (ICWS)</v>
      </c>
      <c r="D145">
        <f>Treatments!Q113</f>
        <v>20</v>
      </c>
      <c r="E145">
        <f>Treatments!P113</f>
        <v>0.8</v>
      </c>
      <c r="F145">
        <f>IF(ISNUMBER(Treatments!N113),Treatments!N113,0)</f>
        <v>5</v>
      </c>
      <c r="G145" t="str">
        <f>IF(ISNUMBER(Treatments!U113),Treatments!U113,"")</f>
        <v/>
      </c>
      <c r="H145" t="str">
        <f>IF(ISNUMBER(Treatments!V113),Treatments!V113,"")</f>
        <v/>
      </c>
      <c r="I145" t="s">
        <v>55</v>
      </c>
      <c r="J145" t="s">
        <v>62</v>
      </c>
      <c r="K145" t="s">
        <v>84</v>
      </c>
      <c r="L145" t="s">
        <v>86</v>
      </c>
      <c r="M145">
        <f t="shared" si="23"/>
        <v>18</v>
      </c>
      <c r="N145">
        <f>IF(OR($C$4="Any",I145="All"),12,IF(ISNUMBER(SEARCH($C$4,I145)),12,0))</f>
        <v>12</v>
      </c>
      <c r="O145">
        <f t="shared" si="24"/>
        <v>13</v>
      </c>
      <c r="P145">
        <f t="shared" si="25"/>
        <v>10</v>
      </c>
      <c r="Q145">
        <f>IF($C$8="",4,IF(AND(ISNUMBER(G145),ISNUMBER(H145)),IF(AND($C$8&gt;=G145,$C$8&lt;=H145),7,0),4))</f>
        <v>4</v>
      </c>
      <c r="R145">
        <f t="shared" si="26"/>
        <v>70</v>
      </c>
      <c r="S145">
        <f>IF(OR(M145=0,W145=0),-A145,R145*100+D145+F145*0.5-A145*0.001)</f>
        <v>7022.3890000000001</v>
      </c>
      <c r="T145" t="str">
        <f>Treatments!M113</f>
        <v xml:space="preserve">Added  </v>
      </c>
      <c r="U145" t="s">
        <v>6</v>
      </c>
      <c r="V145">
        <f t="shared" si="27"/>
        <v>8</v>
      </c>
      <c r="W145">
        <f>IF(LEFT(Treatments!AD113,3)="Yes",1,0)</f>
        <v>1</v>
      </c>
      <c r="X145" t="str">
        <f>Treatments!AE113</f>
        <v>Fatal &amp; injury only</v>
      </c>
      <c r="Y145">
        <f t="shared" si="28"/>
        <v>5</v>
      </c>
      <c r="Z145" t="str">
        <f>Treatments!AE113&amp;" / "&amp;Treatments!AF113</f>
        <v>Fatal &amp; injury only / All crash types</v>
      </c>
      <c r="AA145" t="e">
        <f>IF(Treatments!#REF!="","",Treatments!#REF!)</f>
        <v>#REF!</v>
      </c>
    </row>
    <row r="146" spans="1:27" hidden="1" x14ac:dyDescent="0.25">
      <c r="A146">
        <v>112</v>
      </c>
      <c r="B146" t="str">
        <f>Treatments!A114</f>
        <v>Install An Intersection Conflict Warning System (ICWS) With Overhead Signs (Various Messages) And Flashers At The Intersection On Major; Loop On Minor</v>
      </c>
      <c r="C146" t="str">
        <f>Treatments!B114</f>
        <v>CM: Intersection Conflict Warning Systems (ICWS)</v>
      </c>
      <c r="D146">
        <f>Treatments!Q114</f>
        <v>40</v>
      </c>
      <c r="E146">
        <f>Treatments!P114</f>
        <v>0.6</v>
      </c>
      <c r="F146">
        <f>IF(ISNUMBER(Treatments!N114),Treatments!N114,0)</f>
        <v>4</v>
      </c>
      <c r="G146" t="str">
        <f>IF(ISNUMBER(Treatments!U114),Treatments!U114,"")</f>
        <v/>
      </c>
      <c r="H146" t="str">
        <f>IF(ISNUMBER(Treatments!V114),Treatments!V114,"")</f>
        <v/>
      </c>
      <c r="I146" t="s">
        <v>55</v>
      </c>
      <c r="J146" t="s">
        <v>62</v>
      </c>
      <c r="K146" t="s">
        <v>84</v>
      </c>
      <c r="L146" t="s">
        <v>86</v>
      </c>
      <c r="M146">
        <f t="shared" si="23"/>
        <v>18</v>
      </c>
      <c r="N146">
        <f>IF(OR($C$4="Any",I146="All"),12,IF(ISNUMBER(SEARCH($C$4,I146)),12,0))</f>
        <v>12</v>
      </c>
      <c r="O146">
        <f t="shared" si="24"/>
        <v>13</v>
      </c>
      <c r="P146">
        <f t="shared" si="25"/>
        <v>10</v>
      </c>
      <c r="Q146">
        <f>IF($C$8="",4,IF(AND(ISNUMBER(G146),ISNUMBER(H146)),IF(AND($C$8&gt;=G146,$C$8&lt;=H146),7,0),4))</f>
        <v>4</v>
      </c>
      <c r="R146">
        <f t="shared" si="26"/>
        <v>70</v>
      </c>
      <c r="S146">
        <f>IF(OR(M146=0,W146=0),-A146,R146*100+D146+F146*0.5-A146*0.001)</f>
        <v>7041.8879999999999</v>
      </c>
      <c r="T146" t="str">
        <f>Treatments!M114</f>
        <v xml:space="preserve">Added  </v>
      </c>
      <c r="U146" t="s">
        <v>6</v>
      </c>
      <c r="V146">
        <f t="shared" si="27"/>
        <v>8</v>
      </c>
      <c r="W146">
        <f>IF(LEFT(Treatments!AD114,3)="Yes",1,0)</f>
        <v>1</v>
      </c>
      <c r="X146" t="str">
        <f>Treatments!AE114</f>
        <v>Fatal &amp; injury only</v>
      </c>
      <c r="Y146">
        <f t="shared" si="28"/>
        <v>5</v>
      </c>
      <c r="Z146" t="str">
        <f>Treatments!AE114&amp;" / "&amp;Treatments!AF114</f>
        <v>Fatal &amp; injury only / All crash types</v>
      </c>
      <c r="AA146" t="e">
        <f>IF(Treatments!#REF!="","",Treatments!#REF!)</f>
        <v>#REF!</v>
      </c>
    </row>
    <row r="147" spans="1:27" hidden="1" x14ac:dyDescent="0.25">
      <c r="A147">
        <v>113</v>
      </c>
      <c r="B147" t="str">
        <f>Treatments!A115</f>
        <v>Install An Intersection Conflict Warning System (ICWS) With Post Mounted Signs (Various Messages) And Flashers At The Intersection On Minor; Loop On Major</v>
      </c>
      <c r="C147" t="str">
        <f>Treatments!B115</f>
        <v>CM: Intersection Conflict Warning Systems (ICWS)</v>
      </c>
      <c r="D147">
        <f>Treatments!Q115</f>
        <v>31</v>
      </c>
      <c r="E147">
        <f>Treatments!P115</f>
        <v>0.69</v>
      </c>
      <c r="F147">
        <f>IF(ISNUMBER(Treatments!N115),Treatments!N115,0)</f>
        <v>4</v>
      </c>
      <c r="G147" t="str">
        <f>IF(ISNUMBER(Treatments!U115),Treatments!U115,"")</f>
        <v/>
      </c>
      <c r="H147" t="str">
        <f>IF(ISNUMBER(Treatments!V115),Treatments!V115,"")</f>
        <v/>
      </c>
      <c r="I147" t="s">
        <v>55</v>
      </c>
      <c r="J147" t="s">
        <v>62</v>
      </c>
      <c r="K147" t="s">
        <v>84</v>
      </c>
      <c r="L147" t="s">
        <v>86</v>
      </c>
      <c r="M147">
        <f t="shared" si="23"/>
        <v>18</v>
      </c>
      <c r="N147">
        <f>IF(OR($C$4="Any",I147="All"),12,IF(ISNUMBER(SEARCH($C$4,I147)),12,0))</f>
        <v>12</v>
      </c>
      <c r="O147">
        <f t="shared" si="24"/>
        <v>13</v>
      </c>
      <c r="P147">
        <f t="shared" si="25"/>
        <v>10</v>
      </c>
      <c r="Q147">
        <f>IF($C$8="",4,IF(AND(ISNUMBER(G147),ISNUMBER(H147)),IF(AND($C$8&gt;=G147,$C$8&lt;=H147),7,0),4))</f>
        <v>4</v>
      </c>
      <c r="R147">
        <f t="shared" si="26"/>
        <v>70</v>
      </c>
      <c r="S147">
        <f>IF(OR(M147=0,W147=0),-A147,R147*100+D147+F147*0.5-A147*0.001)</f>
        <v>7032.8869999999997</v>
      </c>
      <c r="T147" t="str">
        <f>Treatments!M115</f>
        <v xml:space="preserve">Added  </v>
      </c>
      <c r="U147" t="s">
        <v>6</v>
      </c>
      <c r="V147">
        <f t="shared" si="27"/>
        <v>8</v>
      </c>
      <c r="W147">
        <f>IF(LEFT(Treatments!AD115,3)="Yes",1,0)</f>
        <v>1</v>
      </c>
      <c r="X147" t="str">
        <f>Treatments!AE115</f>
        <v>All crashes</v>
      </c>
      <c r="Y147">
        <f t="shared" si="28"/>
        <v>5</v>
      </c>
      <c r="Z147" t="str">
        <f>Treatments!AE115&amp;" / "&amp;Treatments!AF115</f>
        <v>All crashes / All crash types</v>
      </c>
      <c r="AA147" t="e">
        <f>IF(Treatments!#REF!="","",Treatments!#REF!)</f>
        <v>#REF!</v>
      </c>
    </row>
    <row r="148" spans="1:27" hidden="1" x14ac:dyDescent="0.25">
      <c r="A148">
        <v>114</v>
      </c>
      <c r="B148" t="str">
        <f>Treatments!A116</f>
        <v>Implement Systemic Signing And Marking Improvements At Stop-Controlled Intersections</v>
      </c>
      <c r="C148" t="str">
        <f>Treatments!B116</f>
        <v>CM: Systemic Application of Multiple Low-Cost Countermeasures at Stop-Controlled Intersections</v>
      </c>
      <c r="D148">
        <f>Treatments!Q116</f>
        <v>10.1</v>
      </c>
      <c r="E148">
        <f>Treatments!P116</f>
        <v>0.89900000000000002</v>
      </c>
      <c r="F148">
        <f>IF(ISNUMBER(Treatments!N116),Treatments!N116,0)</f>
        <v>4</v>
      </c>
      <c r="G148">
        <f>IF(ISNUMBER(Treatments!U116),Treatments!U116,"")</f>
        <v>641</v>
      </c>
      <c r="H148">
        <f>IF(ISNUMBER(Treatments!V116),Treatments!V116,"")</f>
        <v>41731</v>
      </c>
      <c r="I148" t="s">
        <v>54</v>
      </c>
      <c r="J148" t="s">
        <v>62</v>
      </c>
      <c r="K148" t="s">
        <v>84</v>
      </c>
      <c r="L148" t="s">
        <v>86</v>
      </c>
      <c r="M148">
        <f t="shared" si="23"/>
        <v>18</v>
      </c>
      <c r="N148">
        <f>IF(OR($C$4="Any",I148="All"),12,IF(ISNUMBER(SEARCH($C$4,I148)),12,0))</f>
        <v>12</v>
      </c>
      <c r="O148">
        <f t="shared" si="24"/>
        <v>13</v>
      </c>
      <c r="P148">
        <f t="shared" si="25"/>
        <v>10</v>
      </c>
      <c r="Q148">
        <f>IF($C$8="",4,IF(AND(ISNUMBER(G148),ISNUMBER(H148)),IF(AND($C$8&gt;=G148,$C$8&lt;=H148),7,0),4))</f>
        <v>4</v>
      </c>
      <c r="R148">
        <f t="shared" si="26"/>
        <v>70</v>
      </c>
      <c r="S148">
        <f>IF(OR(M148=0,W148=0),-A148,R148*100+D148+F148*0.5-A148*0.001)</f>
        <v>7011.9860000000008</v>
      </c>
      <c r="T148" t="str">
        <f>Treatments!M116</f>
        <v xml:space="preserve">Original </v>
      </c>
      <c r="U148" t="s">
        <v>6</v>
      </c>
      <c r="V148">
        <f t="shared" si="27"/>
        <v>8</v>
      </c>
      <c r="W148">
        <f>IF(LEFT(Treatments!AD116,3)="Yes",1,0)</f>
        <v>1</v>
      </c>
      <c r="X148" t="str">
        <f>Treatments!AE116</f>
        <v>Fatal &amp; injury only</v>
      </c>
      <c r="Y148">
        <f t="shared" si="28"/>
        <v>5</v>
      </c>
      <c r="Z148" t="str">
        <f>Treatments!AE116&amp;" / "&amp;Treatments!AF116</f>
        <v>Fatal &amp; injury only / All crash types</v>
      </c>
      <c r="AA148" t="e">
        <f>IF(Treatments!#REF!="","",Treatments!#REF!)</f>
        <v>#REF!</v>
      </c>
    </row>
    <row r="149" spans="1:27" hidden="1" x14ac:dyDescent="0.25">
      <c r="A149">
        <v>115</v>
      </c>
      <c r="B149" t="str">
        <f>Treatments!A117</f>
        <v>Replace Standard Stop Sign With Flashing LED Stop Sign</v>
      </c>
      <c r="C149" t="str">
        <f>Treatments!B117</f>
        <v>CM: Systemic Application of Multiple Low-Cost Countermeasures at Stop-Controlled Intersections</v>
      </c>
      <c r="D149">
        <f>Treatments!Q117</f>
        <v>41.5</v>
      </c>
      <c r="E149">
        <f>Treatments!P117</f>
        <v>0.58499999999999996</v>
      </c>
      <c r="F149">
        <f>IF(ISNUMBER(Treatments!N117),Treatments!N117,0)</f>
        <v>4</v>
      </c>
      <c r="G149" t="str">
        <f>IF(ISNUMBER(Treatments!U117),Treatments!U117,"")</f>
        <v/>
      </c>
      <c r="H149" t="str">
        <f>IF(ISNUMBER(Treatments!V117),Treatments!V117,"")</f>
        <v/>
      </c>
      <c r="I149" t="s">
        <v>54</v>
      </c>
      <c r="J149" t="s">
        <v>62</v>
      </c>
      <c r="K149" t="s">
        <v>84</v>
      </c>
      <c r="L149" t="s">
        <v>85</v>
      </c>
      <c r="M149">
        <f t="shared" si="23"/>
        <v>0</v>
      </c>
      <c r="N149">
        <f>IF(OR($C$4="Any",I149="All"),12,IF(ISNUMBER(SEARCH($C$4,I149)),12,0))</f>
        <v>12</v>
      </c>
      <c r="O149">
        <f t="shared" si="24"/>
        <v>13</v>
      </c>
      <c r="P149">
        <f t="shared" si="25"/>
        <v>10</v>
      </c>
      <c r="Q149">
        <f>IF($C$8="",4,IF(AND(ISNUMBER(G149),ISNUMBER(H149)),IF(AND($C$8&gt;=G149,$C$8&lt;=H149),7,0),4))</f>
        <v>4</v>
      </c>
      <c r="R149">
        <f t="shared" si="26"/>
        <v>52</v>
      </c>
      <c r="S149">
        <f>IF(OR(M149=0,W149=0),-A149,R149*100+D149+F149*0.5-A149*0.001)</f>
        <v>-115</v>
      </c>
      <c r="T149" t="str">
        <f>Treatments!M117</f>
        <v xml:space="preserve">Added  </v>
      </c>
      <c r="U149" t="s">
        <v>6</v>
      </c>
      <c r="V149">
        <f t="shared" si="27"/>
        <v>8</v>
      </c>
      <c r="W149">
        <f>IF(LEFT(Treatments!AD117,3)="Yes",1,0)</f>
        <v>1</v>
      </c>
      <c r="X149" t="str">
        <f>Treatments!AE117</f>
        <v>All crashes</v>
      </c>
      <c r="Y149">
        <f t="shared" si="28"/>
        <v>5</v>
      </c>
      <c r="Z149" t="str">
        <f>Treatments!AE117&amp;" / "&amp;Treatments!AF117</f>
        <v>All crashes / Only: Angle</v>
      </c>
      <c r="AA149" t="e">
        <f>IF(Treatments!#REF!="","",Treatments!#REF!)</f>
        <v>#REF!</v>
      </c>
    </row>
    <row r="150" spans="1:27" hidden="1" x14ac:dyDescent="0.25">
      <c r="A150">
        <v>116</v>
      </c>
      <c r="B150" t="str">
        <f>Treatments!A118</f>
        <v>Provide Flashing Beacons At Stop Controlled Intersections</v>
      </c>
      <c r="C150" t="str">
        <f>Treatments!B118</f>
        <v>CM: Systemic Application of Multiple Low-Cost Countermeasures at Stop-Controlled Intersections</v>
      </c>
      <c r="D150">
        <f>Treatments!Q118</f>
        <v>58</v>
      </c>
      <c r="E150">
        <f>Treatments!P118</f>
        <v>0.42</v>
      </c>
      <c r="F150">
        <f>IF(ISNUMBER(Treatments!N118),Treatments!N118,0)</f>
        <v>4</v>
      </c>
      <c r="G150">
        <f>IF(ISNUMBER(Treatments!U118),Treatments!U118,"")</f>
        <v>250</v>
      </c>
      <c r="H150">
        <f>IF(ISNUMBER(Treatments!V118),Treatments!V118,"")</f>
        <v>42520</v>
      </c>
      <c r="I150" t="s">
        <v>54</v>
      </c>
      <c r="J150" t="s">
        <v>62</v>
      </c>
      <c r="K150" t="s">
        <v>84</v>
      </c>
      <c r="L150" t="s">
        <v>85</v>
      </c>
      <c r="M150">
        <f t="shared" si="23"/>
        <v>0</v>
      </c>
      <c r="N150">
        <f>IF(OR($C$4="Any",I150="All"),12,IF(ISNUMBER(SEARCH($C$4,I150)),12,0))</f>
        <v>12</v>
      </c>
      <c r="O150">
        <f t="shared" si="24"/>
        <v>13</v>
      </c>
      <c r="P150">
        <f t="shared" si="25"/>
        <v>10</v>
      </c>
      <c r="Q150">
        <f>IF($C$8="",4,IF(AND(ISNUMBER(G150),ISNUMBER(H150)),IF(AND($C$8&gt;=G150,$C$8&lt;=H150),7,0),4))</f>
        <v>4</v>
      </c>
      <c r="R150">
        <f t="shared" si="26"/>
        <v>52</v>
      </c>
      <c r="S150">
        <f>IF(OR(M150=0,W150=0),-A150,R150*100+D150+F150*0.5-A150*0.001)</f>
        <v>-116</v>
      </c>
      <c r="T150" t="str">
        <f>Treatments!M118</f>
        <v xml:space="preserve">Added  </v>
      </c>
      <c r="U150" t="s">
        <v>6</v>
      </c>
      <c r="V150">
        <f t="shared" si="27"/>
        <v>8</v>
      </c>
      <c r="W150">
        <f>IF(LEFT(Treatments!AD118,3)="Yes",1,0)</f>
        <v>1</v>
      </c>
      <c r="X150" t="str">
        <f>Treatments!AE118</f>
        <v>All crashes</v>
      </c>
      <c r="Y150">
        <f t="shared" si="28"/>
        <v>5</v>
      </c>
      <c r="Z150" t="str">
        <f>Treatments!AE118&amp;" / "&amp;Treatments!AF118</f>
        <v>All crashes / Only: Angle</v>
      </c>
      <c r="AA150" t="e">
        <f>IF(Treatments!#REF!="","",Treatments!#REF!)</f>
        <v>#REF!</v>
      </c>
    </row>
    <row r="151" spans="1:27" hidden="1" x14ac:dyDescent="0.25">
      <c r="A151">
        <v>117</v>
      </c>
      <c r="B151" t="str">
        <f>Treatments!A119</f>
        <v>Implement Systemic Signing And Visibility Improvements At Signalized Intersections</v>
      </c>
      <c r="C151" t="str">
        <f>Treatments!B119</f>
        <v>CM: Systemic Application of Multiple Low-Cost Countermeasures at Stop-Controlled Intersections</v>
      </c>
      <c r="D151">
        <f>Treatments!Q119</f>
        <v>49.1</v>
      </c>
      <c r="E151">
        <f>Treatments!P119</f>
        <v>0.50900000000000001</v>
      </c>
      <c r="F151">
        <f>IF(ISNUMBER(Treatments!N119),Treatments!N119,0)</f>
        <v>4</v>
      </c>
      <c r="G151">
        <f>IF(ISNUMBER(Treatments!U119),Treatments!U119,"")</f>
        <v>4272</v>
      </c>
      <c r="H151">
        <f>IF(ISNUMBER(Treatments!V119),Treatments!V119,"")</f>
        <v>41100</v>
      </c>
      <c r="I151" t="s">
        <v>54</v>
      </c>
      <c r="J151" t="s">
        <v>62</v>
      </c>
      <c r="K151" t="s">
        <v>84</v>
      </c>
      <c r="L151" t="s">
        <v>85</v>
      </c>
      <c r="M151">
        <f t="shared" si="23"/>
        <v>0</v>
      </c>
      <c r="N151">
        <f>IF(OR($C$4="Any",I151="All"),12,IF(ISNUMBER(SEARCH($C$4,I151)),12,0))</f>
        <v>12</v>
      </c>
      <c r="O151">
        <f t="shared" si="24"/>
        <v>13</v>
      </c>
      <c r="P151">
        <f t="shared" si="25"/>
        <v>10</v>
      </c>
      <c r="Q151">
        <f>IF($C$8="",4,IF(AND(ISNUMBER(G151),ISNUMBER(H151)),IF(AND($C$8&gt;=G151,$C$8&lt;=H151),7,0),4))</f>
        <v>4</v>
      </c>
      <c r="R151">
        <f t="shared" si="26"/>
        <v>52</v>
      </c>
      <c r="S151">
        <f>IF(OR(M151=0,W151=0),-A151,R151*100+D151+F151*0.5-A151*0.001)</f>
        <v>-117</v>
      </c>
      <c r="T151" t="str">
        <f>Treatments!M119</f>
        <v xml:space="preserve">Added  </v>
      </c>
      <c r="U151" t="s">
        <v>6</v>
      </c>
      <c r="V151">
        <f t="shared" si="27"/>
        <v>8</v>
      </c>
      <c r="W151">
        <f>IF(LEFT(Treatments!AD119,3)="Yes",1,0)</f>
        <v>1</v>
      </c>
      <c r="X151" t="str">
        <f>Treatments!AE119</f>
        <v>All crashes</v>
      </c>
      <c r="Y151">
        <f t="shared" si="28"/>
        <v>5</v>
      </c>
      <c r="Z151" t="str">
        <f>Treatments!AE119&amp;" / "&amp;Treatments!AF119</f>
        <v>All crashes / Only: Angle</v>
      </c>
      <c r="AA151" t="e">
        <f>IF(Treatments!#REF!="","",Treatments!#REF!)</f>
        <v>#REF!</v>
      </c>
    </row>
    <row r="152" spans="1:27" hidden="1" x14ac:dyDescent="0.25">
      <c r="A152">
        <v>118</v>
      </c>
      <c r="B152" t="str">
        <f>Treatments!A120</f>
        <v>Implement Systemic Signing And Marking Improvements At Stop-Controlled Intersections</v>
      </c>
      <c r="C152" t="str">
        <f>Treatments!B120</f>
        <v>CM: Systemic Application of Multiple Low-Cost Countermeasures at Stop-Controlled Intersections</v>
      </c>
      <c r="D152">
        <f>Treatments!Q120</f>
        <v>28.2</v>
      </c>
      <c r="E152">
        <f>Treatments!P120</f>
        <v>0.71799999999999997</v>
      </c>
      <c r="F152">
        <f>IF(ISNUMBER(Treatments!N120),Treatments!N120,0)</f>
        <v>4</v>
      </c>
      <c r="G152">
        <f>IF(ISNUMBER(Treatments!U120),Treatments!U120,"")</f>
        <v>641</v>
      </c>
      <c r="H152">
        <f>IF(ISNUMBER(Treatments!V120),Treatments!V120,"")</f>
        <v>41731</v>
      </c>
      <c r="I152" t="s">
        <v>55</v>
      </c>
      <c r="J152" t="s">
        <v>62</v>
      </c>
      <c r="K152" t="s">
        <v>84</v>
      </c>
      <c r="L152" t="s">
        <v>87</v>
      </c>
      <c r="M152">
        <f t="shared" si="23"/>
        <v>0</v>
      </c>
      <c r="N152">
        <f>IF(OR($C$4="Any",I152="All"),12,IF(ISNUMBER(SEARCH($C$4,I152)),12,0))</f>
        <v>12</v>
      </c>
      <c r="O152">
        <f t="shared" si="24"/>
        <v>13</v>
      </c>
      <c r="P152">
        <f t="shared" si="25"/>
        <v>10</v>
      </c>
      <c r="Q152">
        <f>IF($C$8="",4,IF(AND(ISNUMBER(G152),ISNUMBER(H152)),IF(AND($C$8&gt;=G152,$C$8&lt;=H152),7,0),4))</f>
        <v>4</v>
      </c>
      <c r="R152">
        <f t="shared" si="26"/>
        <v>52</v>
      </c>
      <c r="S152">
        <f>IF(OR(M152=0,W152=0),-A152,R152*100+D152+F152*0.5-A152*0.001)</f>
        <v>-118</v>
      </c>
      <c r="T152" t="str">
        <f>Treatments!M120</f>
        <v xml:space="preserve">Added  </v>
      </c>
      <c r="U152" t="s">
        <v>6</v>
      </c>
      <c r="V152">
        <f t="shared" si="27"/>
        <v>8</v>
      </c>
      <c r="W152">
        <f>IF(LEFT(Treatments!AD120,3)="Yes",1,0)</f>
        <v>1</v>
      </c>
      <c r="X152" t="str">
        <f>Treatments!AE120</f>
        <v>All crashes</v>
      </c>
      <c r="Y152">
        <f t="shared" si="28"/>
        <v>5</v>
      </c>
      <c r="Z152" t="str">
        <f>Treatments!AE120&amp;" / "&amp;Treatments!AF120</f>
        <v>All crashes / Only: Nighttime</v>
      </c>
      <c r="AA152" t="e">
        <f>IF(Treatments!#REF!="","",Treatments!#REF!)</f>
        <v>#REF!</v>
      </c>
    </row>
    <row r="153" spans="1:27" hidden="1" x14ac:dyDescent="0.25">
      <c r="A153">
        <v>119</v>
      </c>
      <c r="B153" t="str">
        <f>Treatments!A121</f>
        <v>Modify Change Plus Clearance Interval To Ite 1985 Proposed Recommended Practice</v>
      </c>
      <c r="C153" t="str">
        <f>Treatments!B121</f>
        <v>CM: Yellow Change Intervals</v>
      </c>
      <c r="D153">
        <f>Treatments!Q121</f>
        <v>8</v>
      </c>
      <c r="E153">
        <f>Treatments!P121</f>
        <v>0.92</v>
      </c>
      <c r="F153">
        <f>IF(ISNUMBER(Treatments!N121),Treatments!N121,0)</f>
        <v>2</v>
      </c>
      <c r="G153" t="str">
        <f>IF(ISNUMBER(Treatments!U121),Treatments!U121,"")</f>
        <v/>
      </c>
      <c r="H153" t="str">
        <f>IF(ISNUMBER(Treatments!V121),Treatments!V121,"")</f>
        <v/>
      </c>
      <c r="I153" t="s">
        <v>54</v>
      </c>
      <c r="J153" t="s">
        <v>62</v>
      </c>
      <c r="K153" t="s">
        <v>63</v>
      </c>
      <c r="L153" t="s">
        <v>75</v>
      </c>
      <c r="M153">
        <f t="shared" si="23"/>
        <v>18</v>
      </c>
      <c r="N153">
        <f>IF(OR($C$4="Any",I153="All"),12,IF(ISNUMBER(SEARCH($C$4,I153)),12,0))</f>
        <v>12</v>
      </c>
      <c r="O153">
        <f t="shared" si="24"/>
        <v>13</v>
      </c>
      <c r="P153">
        <f t="shared" si="25"/>
        <v>10</v>
      </c>
      <c r="Q153">
        <f>IF($C$8="",4,IF(AND(ISNUMBER(G153),ISNUMBER(H153)),IF(AND($C$8&gt;=G153,$C$8&lt;=H153),7,0),4))</f>
        <v>4</v>
      </c>
      <c r="R153">
        <f t="shared" si="26"/>
        <v>70</v>
      </c>
      <c r="S153">
        <f>IF(OR(M153=0,W153=0),-A153,R153*100+D153+F153*0.5-A153*0.001)</f>
        <v>7008.8810000000003</v>
      </c>
      <c r="T153" t="str">
        <f>Treatments!M121</f>
        <v xml:space="preserve">Original </v>
      </c>
      <c r="U153" t="s">
        <v>6</v>
      </c>
      <c r="V153">
        <f t="shared" si="27"/>
        <v>8</v>
      </c>
      <c r="W153">
        <f>IF(LEFT(Treatments!AD121,3)="Yes",1,0)</f>
        <v>1</v>
      </c>
      <c r="X153" t="str">
        <f>Treatments!AE121</f>
        <v>All crashes</v>
      </c>
      <c r="Y153">
        <f t="shared" si="28"/>
        <v>5</v>
      </c>
      <c r="Z153" t="str">
        <f>Treatments!AE121&amp;" / "&amp;Treatments!AF121</f>
        <v>All crashes / All crash types</v>
      </c>
      <c r="AA153" t="e">
        <f>IF(Treatments!#REF!="","",Treatments!#REF!)</f>
        <v>#REF!</v>
      </c>
    </row>
    <row r="154" spans="1:27" hidden="1" x14ac:dyDescent="0.25">
      <c r="A154">
        <v>120</v>
      </c>
      <c r="B154" t="str">
        <f>Treatments!A122</f>
        <v>Increase All Red Clearance Interval</v>
      </c>
      <c r="C154" t="str">
        <f>Treatments!B122</f>
        <v>CM: Yellow Change Intervals</v>
      </c>
      <c r="D154">
        <f>Treatments!Q122</f>
        <v>20.2</v>
      </c>
      <c r="E154">
        <f>Treatments!P122</f>
        <v>0.79800000000000004</v>
      </c>
      <c r="F154">
        <f>IF(ISNUMBER(Treatments!N122),Treatments!N122,0)</f>
        <v>4</v>
      </c>
      <c r="G154">
        <f>IF(ISNUMBER(Treatments!U122),Treatments!U122,"")</f>
        <v>5950</v>
      </c>
      <c r="H154">
        <f>IF(ISNUMBER(Treatments!V122),Treatments!V122,"")</f>
        <v>31600</v>
      </c>
      <c r="I154" t="s">
        <v>49</v>
      </c>
      <c r="J154" t="s">
        <v>62</v>
      </c>
      <c r="K154" t="s">
        <v>63</v>
      </c>
      <c r="L154" t="s">
        <v>75</v>
      </c>
      <c r="M154">
        <f t="shared" si="23"/>
        <v>18</v>
      </c>
      <c r="N154">
        <f>IF(OR($C$4="Any",I154="All"),12,IF(ISNUMBER(SEARCH($C$4,I154)),12,0))</f>
        <v>12</v>
      </c>
      <c r="O154">
        <f t="shared" si="24"/>
        <v>13</v>
      </c>
      <c r="P154">
        <f t="shared" si="25"/>
        <v>10</v>
      </c>
      <c r="Q154">
        <f>IF($C$8="",4,IF(AND(ISNUMBER(G154),ISNUMBER(H154)),IF(AND($C$8&gt;=G154,$C$8&lt;=H154),7,0),4))</f>
        <v>4</v>
      </c>
      <c r="R154">
        <f t="shared" si="26"/>
        <v>70</v>
      </c>
      <c r="S154">
        <f>IF(OR(M154=0,W154=0),-A154,R154*100+D154+F154*0.5-A154*0.001)</f>
        <v>7022.08</v>
      </c>
      <c r="T154" t="str">
        <f>Treatments!M122</f>
        <v xml:space="preserve">Added  </v>
      </c>
      <c r="U154" t="s">
        <v>6</v>
      </c>
      <c r="V154">
        <f t="shared" si="27"/>
        <v>8</v>
      </c>
      <c r="W154">
        <f>IF(LEFT(Treatments!AD122,3)="Yes",1,0)</f>
        <v>1</v>
      </c>
      <c r="X154" t="str">
        <f>Treatments!AE122</f>
        <v>All crashes</v>
      </c>
      <c r="Y154">
        <f t="shared" si="28"/>
        <v>5</v>
      </c>
      <c r="Z154" t="str">
        <f>Treatments!AE122&amp;" / "&amp;Treatments!AF122</f>
        <v>All crashes / All crash types</v>
      </c>
      <c r="AA154" t="e">
        <f>IF(Treatments!#REF!="","",Treatments!#REF!)</f>
        <v>#REF!</v>
      </c>
    </row>
    <row r="155" spans="1:27" hidden="1" x14ac:dyDescent="0.25">
      <c r="A155">
        <v>121</v>
      </c>
      <c r="B155" t="str">
        <f>Treatments!A123</f>
        <v>Provide Intersection Illumination</v>
      </c>
      <c r="C155" t="str">
        <f>Treatments!B123</f>
        <v>CM: Lighting</v>
      </c>
      <c r="D155">
        <f>Treatments!Q123</f>
        <v>42</v>
      </c>
      <c r="E155">
        <f>Treatments!P123</f>
        <v>0.57999999999999996</v>
      </c>
      <c r="F155">
        <f>IF(ISNUMBER(Treatments!N123),Treatments!N123,0)</f>
        <v>3</v>
      </c>
      <c r="G155" t="str">
        <f>IF(ISNUMBER(Treatments!U123),Treatments!U123,"")</f>
        <v/>
      </c>
      <c r="H155" t="str">
        <f>IF(ISNUMBER(Treatments!V123),Treatments!V123,"")</f>
        <v/>
      </c>
      <c r="I155" t="s">
        <v>54</v>
      </c>
      <c r="J155" t="s">
        <v>6</v>
      </c>
      <c r="K155" t="s">
        <v>6</v>
      </c>
      <c r="L155" t="s">
        <v>88</v>
      </c>
      <c r="M155">
        <f t="shared" si="23"/>
        <v>0</v>
      </c>
      <c r="N155">
        <f>IF(OR($C$4="Any",I155="All"),12,IF(ISNUMBER(SEARCH($C$4,I155)),12,0))</f>
        <v>12</v>
      </c>
      <c r="O155">
        <f t="shared" si="24"/>
        <v>13</v>
      </c>
      <c r="P155">
        <f t="shared" si="25"/>
        <v>10</v>
      </c>
      <c r="Q155">
        <f>IF($C$8="",4,IF(AND(ISNUMBER(G155),ISNUMBER(H155)),IF(AND($C$8&gt;=G155,$C$8&lt;=H155),7,0),4))</f>
        <v>4</v>
      </c>
      <c r="R155">
        <f t="shared" si="26"/>
        <v>52</v>
      </c>
      <c r="S155">
        <f>IF(OR(M155=0,W155=0),-A155,R155*100+D155+F155*0.5-A155*0.001)</f>
        <v>-121</v>
      </c>
      <c r="T155" t="str">
        <f>Treatments!M123</f>
        <v xml:space="preserve">Original </v>
      </c>
      <c r="U155" t="s">
        <v>6</v>
      </c>
      <c r="V155">
        <f t="shared" si="27"/>
        <v>8</v>
      </c>
      <c r="W155">
        <f>IF(LEFT(Treatments!AD123,3)="Yes",1,0)</f>
        <v>1</v>
      </c>
      <c r="X155" t="str">
        <f>Treatments!AE123</f>
        <v>Fatal &amp; injury only</v>
      </c>
      <c r="Y155">
        <f t="shared" si="28"/>
        <v>5</v>
      </c>
      <c r="Z155" t="str">
        <f>Treatments!AE123&amp;" / "&amp;Treatments!AF123</f>
        <v>Fatal &amp; injury only / Only: Nighttime,Vehicle/pedestrian</v>
      </c>
      <c r="AA155" t="e">
        <f>IF(Treatments!#REF!="","",Treatments!#REF!)</f>
        <v>#REF!</v>
      </c>
    </row>
    <row r="156" spans="1:27" hidden="1" x14ac:dyDescent="0.25">
      <c r="A156">
        <v>122</v>
      </c>
      <c r="B156" t="str">
        <f>Treatments!A124</f>
        <v>Provide Highway Lighting</v>
      </c>
      <c r="C156" t="str">
        <f>Treatments!B124</f>
        <v>CM: Lighting</v>
      </c>
      <c r="D156">
        <f>Treatments!Q124</f>
        <v>28</v>
      </c>
      <c r="E156">
        <f>Treatments!P124</f>
        <v>0.72</v>
      </c>
      <c r="F156">
        <f>IF(ISNUMBER(Treatments!N124),Treatments!N124,0)</f>
        <v>3</v>
      </c>
      <c r="G156" t="str">
        <f>IF(ISNUMBER(Treatments!U124),Treatments!U124,"")</f>
        <v/>
      </c>
      <c r="H156" t="str">
        <f>IF(ISNUMBER(Treatments!V124),Treatments!V124,"")</f>
        <v/>
      </c>
      <c r="I156" t="s">
        <v>54</v>
      </c>
      <c r="J156" t="s">
        <v>6</v>
      </c>
      <c r="K156" t="s">
        <v>6</v>
      </c>
      <c r="L156" t="s">
        <v>89</v>
      </c>
      <c r="M156">
        <f t="shared" si="23"/>
        <v>0</v>
      </c>
      <c r="N156">
        <f>IF(OR($C$4="Any",I156="All"),12,IF(ISNUMBER(SEARCH($C$4,I156)),12,0))</f>
        <v>12</v>
      </c>
      <c r="O156">
        <f t="shared" si="24"/>
        <v>13</v>
      </c>
      <c r="P156">
        <f t="shared" si="25"/>
        <v>10</v>
      </c>
      <c r="Q156">
        <f>IF($C$8="",4,IF(AND(ISNUMBER(G156),ISNUMBER(H156)),IF(AND($C$8&gt;=G156,$C$8&lt;=H156),7,0),4))</f>
        <v>4</v>
      </c>
      <c r="R156">
        <f t="shared" si="26"/>
        <v>52</v>
      </c>
      <c r="S156">
        <f>IF(OR(M156=0,W156=0),-A156,R156*100+D156+F156*0.5-A156*0.001)</f>
        <v>-122</v>
      </c>
      <c r="T156" t="str">
        <f>Treatments!M124</f>
        <v xml:space="preserve">Original </v>
      </c>
      <c r="U156" t="s">
        <v>6</v>
      </c>
      <c r="V156">
        <f t="shared" si="27"/>
        <v>8</v>
      </c>
      <c r="W156">
        <f>IF(LEFT(Treatments!AD124,3)="Yes",1,0)</f>
        <v>1</v>
      </c>
      <c r="X156" t="str">
        <f>Treatments!AE124</f>
        <v>Fatal &amp; injury only</v>
      </c>
      <c r="Y156">
        <f t="shared" si="28"/>
        <v>5</v>
      </c>
      <c r="Z156" t="str">
        <f>Treatments!AE124&amp;" / "&amp;Treatments!AF124</f>
        <v>Fatal &amp; injury only / Only: Nighttime</v>
      </c>
      <c r="AA156" t="e">
        <f>IF(Treatments!#REF!="","",Treatments!#REF!)</f>
        <v>#REF!</v>
      </c>
    </row>
    <row r="157" spans="1:27" hidden="1" x14ac:dyDescent="0.25">
      <c r="A157">
        <v>123</v>
      </c>
      <c r="B157" t="str">
        <f>Treatments!A125</f>
        <v>Improve Street Lighting Illuminance And Uniformity</v>
      </c>
      <c r="C157" t="str">
        <f>Treatments!B125</f>
        <v>CM: Lighting</v>
      </c>
      <c r="D157">
        <f>Treatments!Q125</f>
        <v>41.9</v>
      </c>
      <c r="E157">
        <f>Treatments!P125</f>
        <v>0.58099999999999996</v>
      </c>
      <c r="F157">
        <f>IF(ISNUMBER(Treatments!N125),Treatments!N125,0)</f>
        <v>4</v>
      </c>
      <c r="G157" t="str">
        <f>IF(ISNUMBER(Treatments!U125),Treatments!U125,"")</f>
        <v/>
      </c>
      <c r="H157" t="str">
        <f>IF(ISNUMBER(Treatments!V125),Treatments!V125,"")</f>
        <v/>
      </c>
      <c r="I157" t="s">
        <v>59</v>
      </c>
      <c r="J157" t="s">
        <v>6</v>
      </c>
      <c r="K157" t="s">
        <v>6</v>
      </c>
      <c r="L157" t="s">
        <v>90</v>
      </c>
      <c r="M157">
        <f t="shared" si="23"/>
        <v>18</v>
      </c>
      <c r="N157">
        <f>IF(OR($C$4="Any",I157="All"),12,IF(ISNUMBER(SEARCH($C$4,I157)),12,0))</f>
        <v>12</v>
      </c>
      <c r="O157">
        <f t="shared" si="24"/>
        <v>13</v>
      </c>
      <c r="P157">
        <f t="shared" si="25"/>
        <v>10</v>
      </c>
      <c r="Q157">
        <f>IF($C$8="",4,IF(AND(ISNUMBER(G157),ISNUMBER(H157)),IF(AND($C$8&gt;=G157,$C$8&lt;=H157),7,0),4))</f>
        <v>4</v>
      </c>
      <c r="R157">
        <f t="shared" si="26"/>
        <v>70</v>
      </c>
      <c r="S157">
        <f>IF(OR(M157=0,W157=0),-A157,R157*100+D157+F157*0.5-A157*0.001)</f>
        <v>7043.777</v>
      </c>
      <c r="T157" t="str">
        <f>Treatments!M125</f>
        <v xml:space="preserve">Added  </v>
      </c>
      <c r="U157" t="s">
        <v>6</v>
      </c>
      <c r="V157">
        <f t="shared" si="27"/>
        <v>8</v>
      </c>
      <c r="W157">
        <f>IF(LEFT(Treatments!AD125,3)="Yes",1,0)</f>
        <v>1</v>
      </c>
      <c r="X157" t="str">
        <f>Treatments!AE125</f>
        <v>All crashes</v>
      </c>
      <c r="Y157">
        <f t="shared" si="28"/>
        <v>5</v>
      </c>
      <c r="Z157" t="str">
        <f>Treatments!AE125&amp;" / "&amp;Treatments!AF125</f>
        <v>All crashes / All crash types</v>
      </c>
      <c r="AA157" t="e">
        <f>IF(Treatments!#REF!="","",Treatments!#REF!)</f>
        <v>#REF!</v>
      </c>
    </row>
    <row r="158" spans="1:27" hidden="1" x14ac:dyDescent="0.25">
      <c r="A158">
        <v>124</v>
      </c>
      <c r="B158" t="str">
        <f>Treatments!A126</f>
        <v>Install Lighting</v>
      </c>
      <c r="C158" t="str">
        <f>Treatments!B126</f>
        <v>CM: Lighting</v>
      </c>
      <c r="D158">
        <f>Treatments!Q126</f>
        <v>38</v>
      </c>
      <c r="E158">
        <f>Treatments!P126</f>
        <v>0.62</v>
      </c>
      <c r="F158">
        <f>IF(ISNUMBER(Treatments!N126),Treatments!N126,0)</f>
        <v>4</v>
      </c>
      <c r="G158" t="str">
        <f>IF(ISNUMBER(Treatments!U126),Treatments!U126,"")</f>
        <v/>
      </c>
      <c r="H158" t="str">
        <f>IF(ISNUMBER(Treatments!V126),Treatments!V126,"")</f>
        <v/>
      </c>
      <c r="I158" t="s">
        <v>49</v>
      </c>
      <c r="J158" t="s">
        <v>6</v>
      </c>
      <c r="K158" t="s">
        <v>6</v>
      </c>
      <c r="L158" t="s">
        <v>91</v>
      </c>
      <c r="M158">
        <f t="shared" si="23"/>
        <v>0</v>
      </c>
      <c r="N158">
        <f>IF(OR($C$4="Any",I158="All"),12,IF(ISNUMBER(SEARCH($C$4,I158)),12,0))</f>
        <v>12</v>
      </c>
      <c r="O158">
        <f t="shared" si="24"/>
        <v>13</v>
      </c>
      <c r="P158">
        <f t="shared" si="25"/>
        <v>10</v>
      </c>
      <c r="Q158">
        <f>IF($C$8="",4,IF(AND(ISNUMBER(G158),ISNUMBER(H158)),IF(AND($C$8&gt;=G158,$C$8&lt;=H158),7,0),4))</f>
        <v>4</v>
      </c>
      <c r="R158">
        <f t="shared" si="26"/>
        <v>52</v>
      </c>
      <c r="S158">
        <f>IF(OR(M158=0,W158=0),-A158,R158*100+D158+F158*0.5-A158*0.001)</f>
        <v>-124</v>
      </c>
      <c r="T158" t="str">
        <f>Treatments!M126</f>
        <v xml:space="preserve">Added  </v>
      </c>
      <c r="U158" t="s">
        <v>53</v>
      </c>
      <c r="V158">
        <f t="shared" si="27"/>
        <v>8</v>
      </c>
      <c r="W158">
        <f>IF(LEFT(Treatments!AD126,3)="Yes",1,0)</f>
        <v>1</v>
      </c>
      <c r="X158" t="str">
        <f>Treatments!AE126</f>
        <v>All crashes</v>
      </c>
      <c r="Y158">
        <f t="shared" si="28"/>
        <v>5</v>
      </c>
      <c r="Z158" t="str">
        <f>Treatments!AE126&amp;" / "&amp;Treatments!AF126</f>
        <v>All crashes / Only: Rear end</v>
      </c>
      <c r="AA158" t="e">
        <f>IF(Treatments!#REF!="","",Treatments!#REF!)</f>
        <v>#REF!</v>
      </c>
    </row>
    <row r="159" spans="1:27" hidden="1" x14ac:dyDescent="0.25">
      <c r="A159">
        <v>125</v>
      </c>
      <c r="B159" t="str">
        <f>Treatments!A127</f>
        <v>Provide Intersection Illumination</v>
      </c>
      <c r="C159" t="str">
        <f>Treatments!B127</f>
        <v>CM: Lighting</v>
      </c>
      <c r="D159">
        <f>Treatments!Q127</f>
        <v>33</v>
      </c>
      <c r="E159">
        <f>Treatments!P127</f>
        <v>0.67</v>
      </c>
      <c r="F159">
        <f>IF(ISNUMBER(Treatments!N127),Treatments!N127,0)</f>
        <v>4</v>
      </c>
      <c r="G159">
        <f>IF(ISNUMBER(Treatments!U127),Treatments!U127,"")</f>
        <v>420</v>
      </c>
      <c r="H159">
        <f>IF(ISNUMBER(Treatments!V127),Treatments!V127,"")</f>
        <v>15200</v>
      </c>
      <c r="I159" t="s">
        <v>55</v>
      </c>
      <c r="J159" t="s">
        <v>6</v>
      </c>
      <c r="K159" t="s">
        <v>6</v>
      </c>
      <c r="L159" t="s">
        <v>87</v>
      </c>
      <c r="M159">
        <f t="shared" si="23"/>
        <v>0</v>
      </c>
      <c r="N159">
        <f>IF(OR($C$4="Any",I159="All"),12,IF(ISNUMBER(SEARCH($C$4,I159)),12,0))</f>
        <v>12</v>
      </c>
      <c r="O159">
        <f t="shared" si="24"/>
        <v>13</v>
      </c>
      <c r="P159">
        <f t="shared" si="25"/>
        <v>10</v>
      </c>
      <c r="Q159">
        <f>IF($C$8="",4,IF(AND(ISNUMBER(G159),ISNUMBER(H159)),IF(AND($C$8&gt;=G159,$C$8&lt;=H159),7,0),4))</f>
        <v>4</v>
      </c>
      <c r="R159">
        <f t="shared" si="26"/>
        <v>52</v>
      </c>
      <c r="S159">
        <f>IF(OR(M159=0,W159=0),-A159,R159*100+D159+F159*0.5-A159*0.001)</f>
        <v>-125</v>
      </c>
      <c r="T159" t="str">
        <f>Treatments!M127</f>
        <v xml:space="preserve">Added  </v>
      </c>
      <c r="U159" t="s">
        <v>6</v>
      </c>
      <c r="V159">
        <f t="shared" si="27"/>
        <v>8</v>
      </c>
      <c r="W159">
        <f>IF(LEFT(Treatments!AD127,3)="Yes",1,0)</f>
        <v>1</v>
      </c>
      <c r="X159" t="str">
        <f>Treatments!AE127</f>
        <v>All crashes</v>
      </c>
      <c r="Y159">
        <f t="shared" si="28"/>
        <v>5</v>
      </c>
      <c r="Z159" t="str">
        <f>Treatments!AE127&amp;" / "&amp;Treatments!AF127</f>
        <v>All crashes / Only: Angle</v>
      </c>
      <c r="AA159" t="e">
        <f>IF(Treatments!#REF!="","",Treatments!#REF!)</f>
        <v>#REF!</v>
      </c>
    </row>
    <row r="160" spans="1:27" hidden="1" x14ac:dyDescent="0.25">
      <c r="A160">
        <v>126</v>
      </c>
      <c r="B160" t="str">
        <f>Treatments!A128</f>
        <v>Install High Friction Surface Treatment (Hfst)</v>
      </c>
      <c r="C160" t="str">
        <f>Treatments!B128</f>
        <v>CM: Pavement Friction Management</v>
      </c>
      <c r="D160">
        <f>Treatments!Q128</f>
        <v>63.5</v>
      </c>
      <c r="E160">
        <f>Treatments!P128</f>
        <v>0.36499999999999999</v>
      </c>
      <c r="F160">
        <f>IF(ISNUMBER(Treatments!N128),Treatments!N128,0)</f>
        <v>4</v>
      </c>
      <c r="G160" t="str">
        <f>IF(ISNUMBER(Treatments!U128),Treatments!U128,"")</f>
        <v/>
      </c>
      <c r="H160" t="str">
        <f>IF(ISNUMBER(Treatments!V128),Treatments!V128,"")</f>
        <v/>
      </c>
      <c r="I160" t="s">
        <v>54</v>
      </c>
      <c r="J160" t="s">
        <v>50</v>
      </c>
      <c r="K160" t="s">
        <v>6</v>
      </c>
      <c r="L160" t="s">
        <v>92</v>
      </c>
      <c r="M160">
        <f t="shared" si="23"/>
        <v>45</v>
      </c>
      <c r="N160">
        <f>IF(OR($C$4="Any",I160="All"),12,IF(ISNUMBER(SEARCH($C$4,I160)),12,0))</f>
        <v>12</v>
      </c>
      <c r="O160">
        <f t="shared" si="24"/>
        <v>13</v>
      </c>
      <c r="P160">
        <f t="shared" si="25"/>
        <v>10</v>
      </c>
      <c r="Q160">
        <f>IF($C$8="",4,IF(AND(ISNUMBER(G160),ISNUMBER(H160)),IF(AND($C$8&gt;=G160,$C$8&lt;=H160),7,0),4))</f>
        <v>4</v>
      </c>
      <c r="R160">
        <f t="shared" si="26"/>
        <v>97</v>
      </c>
      <c r="S160">
        <f>IF(OR(M160=0,W160=0),-A160,R160*100+D160+F160*0.5-A160*0.001)</f>
        <v>9765.3739999999998</v>
      </c>
      <c r="T160" t="str">
        <f>Treatments!M128</f>
        <v xml:space="preserve">Original </v>
      </c>
      <c r="U160" t="s">
        <v>6</v>
      </c>
      <c r="V160">
        <f t="shared" si="27"/>
        <v>8</v>
      </c>
      <c r="W160">
        <f>IF(LEFT(Treatments!AD128,3)="Yes",1,0)</f>
        <v>1</v>
      </c>
      <c r="X160" t="str">
        <f>Treatments!AE128</f>
        <v>Fatal &amp; injury only</v>
      </c>
      <c r="Y160">
        <f t="shared" si="28"/>
        <v>5</v>
      </c>
      <c r="Z160" t="str">
        <f>Treatments!AE128&amp;" / "&amp;Treatments!AF128</f>
        <v>Fatal &amp; injury only / All crash types</v>
      </c>
      <c r="AA160" t="e">
        <f>IF(Treatments!#REF!="","",Treatments!#REF!)</f>
        <v>#REF!</v>
      </c>
    </row>
    <row r="161" spans="1:27" hidden="1" x14ac:dyDescent="0.25">
      <c r="A161">
        <v>127</v>
      </c>
      <c r="B161" t="str">
        <f>Treatments!A129</f>
        <v>Improve Pavement Friction (Increase Skid Resistance)</v>
      </c>
      <c r="C161" t="str">
        <f>Treatments!B129</f>
        <v>CM: Pavement Friction Management</v>
      </c>
      <c r="D161">
        <f>Treatments!Q129</f>
        <v>20.100000000000001</v>
      </c>
      <c r="E161">
        <f>Treatments!P129</f>
        <v>0.79900000000000004</v>
      </c>
      <c r="F161">
        <f>IF(ISNUMBER(Treatments!N129),Treatments!N129,0)</f>
        <v>4</v>
      </c>
      <c r="G161">
        <f>IF(ISNUMBER(Treatments!U129),Treatments!U129,"")</f>
        <v>3475</v>
      </c>
      <c r="H161">
        <f>IF(ISNUMBER(Treatments!V129),Treatments!V129,"")</f>
        <v>65850</v>
      </c>
      <c r="I161" t="s">
        <v>54</v>
      </c>
      <c r="J161" t="s">
        <v>50</v>
      </c>
      <c r="K161" t="s">
        <v>6</v>
      </c>
      <c r="L161" t="s">
        <v>92</v>
      </c>
      <c r="M161">
        <f t="shared" si="23"/>
        <v>45</v>
      </c>
      <c r="N161">
        <f>IF(OR($C$4="Any",I161="All"),12,IF(ISNUMBER(SEARCH($C$4,I161)),12,0))</f>
        <v>12</v>
      </c>
      <c r="O161">
        <f t="shared" si="24"/>
        <v>13</v>
      </c>
      <c r="P161">
        <f t="shared" si="25"/>
        <v>10</v>
      </c>
      <c r="Q161">
        <f>IF($C$8="",4,IF(AND(ISNUMBER(G161),ISNUMBER(H161)),IF(AND($C$8&gt;=G161,$C$8&lt;=H161),7,0),4))</f>
        <v>4</v>
      </c>
      <c r="R161">
        <f t="shared" si="26"/>
        <v>97</v>
      </c>
      <c r="S161">
        <f>IF(OR(M161=0,W161=0),-A161,R161*100+D161+F161*0.5-A161*0.001)</f>
        <v>9721.973</v>
      </c>
      <c r="T161" t="str">
        <f>Treatments!M129</f>
        <v xml:space="preserve">Original </v>
      </c>
      <c r="U161" t="s">
        <v>6</v>
      </c>
      <c r="V161">
        <f t="shared" si="27"/>
        <v>8</v>
      </c>
      <c r="W161">
        <f>IF(LEFT(Treatments!AD129,3)="Yes",1,0)</f>
        <v>1</v>
      </c>
      <c r="X161" t="str">
        <f>Treatments!AE129</f>
        <v>All crashes</v>
      </c>
      <c r="Y161">
        <f t="shared" si="28"/>
        <v>5</v>
      </c>
      <c r="Z161" t="str">
        <f>Treatments!AE129&amp;" / "&amp;Treatments!AF129</f>
        <v>All crashes / All crash types</v>
      </c>
      <c r="AA161" t="e">
        <f>IF(Treatments!#REF!="","",Treatments!#REF!)</f>
        <v>#REF!</v>
      </c>
    </row>
    <row r="162" spans="1:27" hidden="1" x14ac:dyDescent="0.25">
      <c r="A162">
        <v>128</v>
      </c>
      <c r="B162" t="str">
        <f>Treatments!A130</f>
        <v>Improve Pavement Friction (Chip Seal)</v>
      </c>
      <c r="C162" t="str">
        <f>Treatments!B130</f>
        <v>CM: Pavement Friction Management</v>
      </c>
      <c r="D162">
        <f>Treatments!Q130</f>
        <v>77.8</v>
      </c>
      <c r="E162">
        <f>Treatments!P130</f>
        <v>0.222</v>
      </c>
      <c r="F162">
        <f>IF(ISNUMBER(Treatments!N130),Treatments!N130,0)</f>
        <v>4</v>
      </c>
      <c r="G162">
        <f>IF(ISNUMBER(Treatments!U130),Treatments!U130,"")</f>
        <v>1280</v>
      </c>
      <c r="H162">
        <f>IF(ISNUMBER(Treatments!V130),Treatments!V130,"")</f>
        <v>22600</v>
      </c>
      <c r="I162" t="s">
        <v>54</v>
      </c>
      <c r="J162" t="s">
        <v>50</v>
      </c>
      <c r="K162" t="s">
        <v>6</v>
      </c>
      <c r="L162" t="s">
        <v>93</v>
      </c>
      <c r="M162">
        <f t="shared" si="23"/>
        <v>45</v>
      </c>
      <c r="N162">
        <f>IF(OR($C$4="Any",I162="All"),12,IF(ISNUMBER(SEARCH($C$4,I162)),12,0))</f>
        <v>12</v>
      </c>
      <c r="O162">
        <f t="shared" si="24"/>
        <v>13</v>
      </c>
      <c r="P162">
        <f t="shared" si="25"/>
        <v>10</v>
      </c>
      <c r="Q162">
        <f>IF($C$8="",4,IF(AND(ISNUMBER(G162),ISNUMBER(H162)),IF(AND($C$8&gt;=G162,$C$8&lt;=H162),7,0),4))</f>
        <v>4</v>
      </c>
      <c r="R162">
        <f t="shared" si="26"/>
        <v>97</v>
      </c>
      <c r="S162">
        <f>IF(OR(M162=0,W162=0),-A162,R162*100+D162+F162*0.5-A162*0.001)</f>
        <v>9779.6719999999987</v>
      </c>
      <c r="T162" t="str">
        <f>Treatments!M130</f>
        <v xml:space="preserve">Added  </v>
      </c>
      <c r="U162" t="s">
        <v>6</v>
      </c>
      <c r="V162">
        <f t="shared" si="27"/>
        <v>8</v>
      </c>
      <c r="W162">
        <f>IF(LEFT(Treatments!AD130,3)="Yes",1,0)</f>
        <v>1</v>
      </c>
      <c r="X162" t="str">
        <f>Treatments!AE130</f>
        <v>All crashes</v>
      </c>
      <c r="Y162">
        <f t="shared" si="28"/>
        <v>5</v>
      </c>
      <c r="Z162" t="str">
        <f>Treatments!AE130&amp;" / "&amp;Treatments!AF130</f>
        <v>All crashes / Only: Run off road,Wet road</v>
      </c>
      <c r="AA162" t="e">
        <f>IF(Treatments!#REF!="","",Treatments!#REF!)</f>
        <v>#REF!</v>
      </c>
    </row>
    <row r="163" spans="1:27" hidden="1" x14ac:dyDescent="0.25">
      <c r="A163">
        <v>129</v>
      </c>
      <c r="B163" t="str">
        <f>Treatments!A131</f>
        <v>Improve Pavement Friction (OGFC-Open Graded Friction Course)</v>
      </c>
      <c r="C163" t="str">
        <f>Treatments!B131</f>
        <v>CM: Pavement Friction Management</v>
      </c>
      <c r="D163">
        <f>Treatments!Q131</f>
        <v>69.400000000000006</v>
      </c>
      <c r="E163">
        <f>Treatments!P131</f>
        <v>0.30599999999999999</v>
      </c>
      <c r="F163">
        <f>IF(ISNUMBER(Treatments!N131),Treatments!N131,0)</f>
        <v>4</v>
      </c>
      <c r="G163">
        <f>IF(ISNUMBER(Treatments!U131),Treatments!U131,"")</f>
        <v>14961</v>
      </c>
      <c r="H163">
        <f>IF(ISNUMBER(Treatments!V131),Treatments!V131,"")</f>
        <v>158656</v>
      </c>
      <c r="I163" t="s">
        <v>54</v>
      </c>
      <c r="J163" t="s">
        <v>50</v>
      </c>
      <c r="K163" t="s">
        <v>6</v>
      </c>
      <c r="L163" t="s">
        <v>93</v>
      </c>
      <c r="M163">
        <f t="shared" ref="M163:M167" si="29">IF(ISNUMBER(SEARCH("|"&amp;$C$7&amp;"|",L163)),45,IF(ISNUMBER(SEARCH("|All|",L163)),18,0))</f>
        <v>45</v>
      </c>
      <c r="N163">
        <f>IF(OR($C$4="Any",I163="All"),12,IF(ISNUMBER(SEARCH($C$4,I163)),12,0))</f>
        <v>12</v>
      </c>
      <c r="O163">
        <f t="shared" si="24"/>
        <v>13</v>
      </c>
      <c r="P163">
        <f t="shared" si="25"/>
        <v>10</v>
      </c>
      <c r="Q163">
        <f>IF($C$8="",4,IF(AND(ISNUMBER(G163),ISNUMBER(H163)),IF(AND($C$8&gt;=G163,$C$8&lt;=H163),7,0),4))</f>
        <v>4</v>
      </c>
      <c r="R163">
        <f t="shared" ref="R163:R194" si="30">M163+N163+O163+P163+Q163+V163+Y163</f>
        <v>97</v>
      </c>
      <c r="S163">
        <f>IF(OR(M163=0,W163=0),-A163,R163*100+D163+F163*0.5-A163*0.001)</f>
        <v>9771.2709999999988</v>
      </c>
      <c r="T163" t="str">
        <f>Treatments!M131</f>
        <v xml:space="preserve">Added  </v>
      </c>
      <c r="U163" t="s">
        <v>6</v>
      </c>
      <c r="V163">
        <f t="shared" ref="V163:V167" si="31">IF(OR($C$11="Any",U163="Any",U163=$C$11),8,0)</f>
        <v>8</v>
      </c>
      <c r="W163">
        <f>IF(LEFT(Treatments!AD131,3)="Yes",1,0)</f>
        <v>1</v>
      </c>
      <c r="X163" t="str">
        <f>Treatments!AE131</f>
        <v>All crashes</v>
      </c>
      <c r="Y163">
        <f t="shared" ref="Y163:Y167" si="32">IF($C$12="Any",5,IF($C$12=X163,5,IF(AND($C$12="Fatal &amp; injury only",X163="All crashes"),3,0)))</f>
        <v>5</v>
      </c>
      <c r="Z163" t="str">
        <f>Treatments!AE131&amp;" / "&amp;Treatments!AF131</f>
        <v>All crashes / Only: Run off road,Wet road</v>
      </c>
      <c r="AA163" t="e">
        <f>IF(Treatments!#REF!="","",Treatments!#REF!)</f>
        <v>#REF!</v>
      </c>
    </row>
    <row r="164" spans="1:27" hidden="1" x14ac:dyDescent="0.25">
      <c r="A164">
        <v>130</v>
      </c>
      <c r="B164" t="str">
        <f>Treatments!A132</f>
        <v>Improve Pavement Friction (UTBWC-Ultra Thin Bonded Wearing Course)</v>
      </c>
      <c r="C164" t="str">
        <f>Treatments!B132</f>
        <v>CM: Pavement Friction Management</v>
      </c>
      <c r="D164">
        <f>Treatments!Q132</f>
        <v>67</v>
      </c>
      <c r="E164">
        <f>Treatments!P132</f>
        <v>0.33</v>
      </c>
      <c r="F164">
        <f>IF(ISNUMBER(Treatments!N132),Treatments!N132,0)</f>
        <v>4</v>
      </c>
      <c r="G164">
        <f>IF(ISNUMBER(Treatments!U132),Treatments!U132,"")</f>
        <v>2508</v>
      </c>
      <c r="H164">
        <f>IF(ISNUMBER(Treatments!V132),Treatments!V132,"")</f>
        <v>50811</v>
      </c>
      <c r="I164" t="s">
        <v>54</v>
      </c>
      <c r="J164" t="s">
        <v>50</v>
      </c>
      <c r="K164" t="s">
        <v>6</v>
      </c>
      <c r="L164" t="s">
        <v>93</v>
      </c>
      <c r="M164">
        <f t="shared" si="29"/>
        <v>45</v>
      </c>
      <c r="N164">
        <f>IF(OR($C$4="Any",I164="All"),12,IF(ISNUMBER(SEARCH($C$4,I164)),12,0))</f>
        <v>12</v>
      </c>
      <c r="O164">
        <f t="shared" si="24"/>
        <v>13</v>
      </c>
      <c r="P164">
        <f t="shared" si="25"/>
        <v>10</v>
      </c>
      <c r="Q164">
        <f>IF($C$8="",4,IF(AND(ISNUMBER(G164),ISNUMBER(H164)),IF(AND($C$8&gt;=G164,$C$8&lt;=H164),7,0),4))</f>
        <v>4</v>
      </c>
      <c r="R164">
        <f t="shared" si="30"/>
        <v>97</v>
      </c>
      <c r="S164">
        <f>IF(OR(M164=0,W164=0),-A164,R164*100+D164+F164*0.5-A164*0.001)</f>
        <v>9768.8700000000008</v>
      </c>
      <c r="T164" t="str">
        <f>Treatments!M132</f>
        <v xml:space="preserve">Added  </v>
      </c>
      <c r="U164" t="s">
        <v>6</v>
      </c>
      <c r="V164">
        <f t="shared" si="31"/>
        <v>8</v>
      </c>
      <c r="W164">
        <f>IF(LEFT(Treatments!AD132,3)="Yes",1,0)</f>
        <v>1</v>
      </c>
      <c r="X164" t="str">
        <f>Treatments!AE132</f>
        <v>All crashes</v>
      </c>
      <c r="Y164">
        <f t="shared" si="32"/>
        <v>5</v>
      </c>
      <c r="Z164" t="str">
        <f>Treatments!AE132&amp;" / "&amp;Treatments!AF132</f>
        <v>All crashes / Only: Wet road</v>
      </c>
      <c r="AA164" t="e">
        <f>IF(Treatments!#REF!="","",Treatments!#REF!)</f>
        <v>#REF!</v>
      </c>
    </row>
    <row r="165" spans="1:27" hidden="1" x14ac:dyDescent="0.25">
      <c r="A165">
        <v>131</v>
      </c>
      <c r="B165" t="str">
        <f>Treatments!A133</f>
        <v>Improve Pavement Friction (Microsurfacing)</v>
      </c>
      <c r="C165" t="str">
        <f>Treatments!B133</f>
        <v>CM: Pavement Friction Management</v>
      </c>
      <c r="D165">
        <f>Treatments!Q133</f>
        <v>56</v>
      </c>
      <c r="E165">
        <f>Treatments!P133</f>
        <v>0.44</v>
      </c>
      <c r="F165">
        <f>IF(ISNUMBER(Treatments!N133),Treatments!N133,0)</f>
        <v>4</v>
      </c>
      <c r="G165">
        <f>IF(ISNUMBER(Treatments!U133),Treatments!U133,"")</f>
        <v>628</v>
      </c>
      <c r="H165">
        <f>IF(ISNUMBER(Treatments!V133),Treatments!V133,"")</f>
        <v>30314</v>
      </c>
      <c r="I165" t="s">
        <v>54</v>
      </c>
      <c r="J165" t="s">
        <v>50</v>
      </c>
      <c r="K165" t="s">
        <v>6</v>
      </c>
      <c r="L165" t="s">
        <v>93</v>
      </c>
      <c r="M165">
        <f t="shared" si="29"/>
        <v>45</v>
      </c>
      <c r="N165">
        <f>IF(OR($C$4="Any",I165="All"),12,IF(ISNUMBER(SEARCH($C$4,I165)),12,0))</f>
        <v>12</v>
      </c>
      <c r="O165">
        <f t="shared" si="24"/>
        <v>13</v>
      </c>
      <c r="P165">
        <f t="shared" si="25"/>
        <v>10</v>
      </c>
      <c r="Q165">
        <f>IF($C$8="",4,IF(AND(ISNUMBER(G165),ISNUMBER(H165)),IF(AND($C$8&gt;=G165,$C$8&lt;=H165),7,0),4))</f>
        <v>4</v>
      </c>
      <c r="R165">
        <f t="shared" si="30"/>
        <v>97</v>
      </c>
      <c r="S165">
        <f>IF(OR(M165=0,W165=0),-A165,R165*100+D165+F165*0.5-A165*0.001)</f>
        <v>9757.8690000000006</v>
      </c>
      <c r="T165" t="str">
        <f>Treatments!M133</f>
        <v xml:space="preserve">Added  </v>
      </c>
      <c r="U165" t="s">
        <v>6</v>
      </c>
      <c r="V165">
        <f t="shared" si="31"/>
        <v>8</v>
      </c>
      <c r="W165">
        <f>IF(LEFT(Treatments!AD133,3)="Yes",1,0)</f>
        <v>1</v>
      </c>
      <c r="X165" t="str">
        <f>Treatments!AE133</f>
        <v>All crashes</v>
      </c>
      <c r="Y165">
        <f t="shared" si="32"/>
        <v>5</v>
      </c>
      <c r="Z165" t="str">
        <f>Treatments!AE133&amp;" / "&amp;Treatments!AF133</f>
        <v>All crashes / Only: Run off road</v>
      </c>
      <c r="AA165" t="e">
        <f>IF(Treatments!#REF!="","",Treatments!#REF!)</f>
        <v>#REF!</v>
      </c>
    </row>
    <row r="166" spans="1:27" hidden="1" x14ac:dyDescent="0.25">
      <c r="A166">
        <v>132</v>
      </c>
      <c r="B166" t="str">
        <f>Treatments!A134</f>
        <v>Improve Pavement Friction (Diamond Grinding)</v>
      </c>
      <c r="C166" t="str">
        <f>Treatments!B134</f>
        <v>CM: Pavement Friction Management</v>
      </c>
      <c r="D166">
        <f>Treatments!Q134</f>
        <v>52</v>
      </c>
      <c r="E166">
        <f>Treatments!P134</f>
        <v>0.48</v>
      </c>
      <c r="F166">
        <f>IF(ISNUMBER(Treatments!N134),Treatments!N134,0)</f>
        <v>4</v>
      </c>
      <c r="G166">
        <f>IF(ISNUMBER(Treatments!U134),Treatments!U134,"")</f>
        <v>10240</v>
      </c>
      <c r="H166">
        <f>IF(ISNUMBER(Treatments!V134),Treatments!V134,"")</f>
        <v>278200</v>
      </c>
      <c r="I166" t="s">
        <v>54</v>
      </c>
      <c r="J166" t="s">
        <v>50</v>
      </c>
      <c r="K166" t="s">
        <v>6</v>
      </c>
      <c r="L166" t="s">
        <v>93</v>
      </c>
      <c r="M166">
        <f t="shared" si="29"/>
        <v>45</v>
      </c>
      <c r="N166">
        <f>IF(OR($C$4="Any",I166="All"),12,IF(ISNUMBER(SEARCH($C$4,I166)),12,0))</f>
        <v>12</v>
      </c>
      <c r="O166">
        <f t="shared" si="24"/>
        <v>13</v>
      </c>
      <c r="P166">
        <f t="shared" si="25"/>
        <v>10</v>
      </c>
      <c r="Q166">
        <f>IF($C$8="",4,IF(AND(ISNUMBER(G166),ISNUMBER(H166)),IF(AND($C$8&gt;=G166,$C$8&lt;=H166),7,0),4))</f>
        <v>4</v>
      </c>
      <c r="R166">
        <f t="shared" si="30"/>
        <v>97</v>
      </c>
      <c r="S166">
        <f>IF(OR(M166=0,W166=0),-A166,R166*100+D166+F166*0.5-A166*0.001)</f>
        <v>9753.8680000000004</v>
      </c>
      <c r="T166" t="str">
        <f>Treatments!M134</f>
        <v xml:space="preserve">Added  </v>
      </c>
      <c r="U166" t="s">
        <v>6</v>
      </c>
      <c r="V166">
        <f t="shared" si="31"/>
        <v>8</v>
      </c>
      <c r="W166">
        <f>IF(LEFT(Treatments!AD134,3)="Yes",1,0)</f>
        <v>1</v>
      </c>
      <c r="X166" t="str">
        <f>Treatments!AE134</f>
        <v>All crashes</v>
      </c>
      <c r="Y166">
        <f t="shared" si="32"/>
        <v>5</v>
      </c>
      <c r="Z166" t="str">
        <f>Treatments!AE134&amp;" / "&amp;Treatments!AF134</f>
        <v>All crashes / Only: Wet road</v>
      </c>
      <c r="AA166" t="e">
        <f>IF(Treatments!#REF!="","",Treatments!#REF!)</f>
        <v>#REF!</v>
      </c>
    </row>
    <row r="167" spans="1:27" hidden="1" x14ac:dyDescent="0.25">
      <c r="A167">
        <v>133</v>
      </c>
      <c r="B167" t="str">
        <f>Treatments!A135</f>
        <v>Improve Pavement Friction (Thin HMA-Hot Mix Asphalt)</v>
      </c>
      <c r="C167" t="str">
        <f>Treatments!B135</f>
        <v>CM: Pavement Friction Management</v>
      </c>
      <c r="D167">
        <f>Treatments!Q135</f>
        <v>46.9</v>
      </c>
      <c r="E167">
        <f>Treatments!P135</f>
        <v>0.53100000000000003</v>
      </c>
      <c r="F167">
        <f>IF(ISNUMBER(Treatments!N135),Treatments!N135,0)</f>
        <v>4</v>
      </c>
      <c r="G167">
        <f>IF(ISNUMBER(Treatments!U135),Treatments!U135,"")</f>
        <v>69</v>
      </c>
      <c r="H167">
        <f>IF(ISNUMBER(Treatments!V135),Treatments!V135,"")</f>
        <v>8489</v>
      </c>
      <c r="I167" t="s">
        <v>54</v>
      </c>
      <c r="J167" t="s">
        <v>50</v>
      </c>
      <c r="K167" t="s">
        <v>6</v>
      </c>
      <c r="L167" t="s">
        <v>93</v>
      </c>
      <c r="M167">
        <f t="shared" si="29"/>
        <v>45</v>
      </c>
      <c r="N167">
        <f>IF(OR($C$4="Any",I167="All"),12,IF(ISNUMBER(SEARCH($C$4,I167)),12,0))</f>
        <v>12</v>
      </c>
      <c r="O167">
        <f t="shared" si="24"/>
        <v>13</v>
      </c>
      <c r="P167">
        <f t="shared" si="25"/>
        <v>10</v>
      </c>
      <c r="Q167">
        <f>IF($C$8="",4,IF(AND(ISNUMBER(G167),ISNUMBER(H167)),IF(AND($C$8&gt;=G167,$C$8&lt;=H167),7,0),4))</f>
        <v>4</v>
      </c>
      <c r="R167">
        <f t="shared" si="30"/>
        <v>97</v>
      </c>
      <c r="S167">
        <f>IF(OR(M167=0,W167=0),-A167,R167*100+D167+F167*0.5-A167*0.001)</f>
        <v>9748.7669999999998</v>
      </c>
      <c r="T167" t="str">
        <f>Treatments!M135</f>
        <v xml:space="preserve">Added  </v>
      </c>
      <c r="U167" t="s">
        <v>6</v>
      </c>
      <c r="V167">
        <f t="shared" si="31"/>
        <v>8</v>
      </c>
      <c r="W167">
        <f>IF(LEFT(Treatments!AD135,3)="Yes",1,0)</f>
        <v>1</v>
      </c>
      <c r="X167" t="str">
        <f>Treatments!AE135</f>
        <v>All crashes</v>
      </c>
      <c r="Y167">
        <f t="shared" si="32"/>
        <v>5</v>
      </c>
      <c r="Z167" t="str">
        <f>Treatments!AE135&amp;" / "&amp;Treatments!AF135</f>
        <v>All crashes / Only: Wet road</v>
      </c>
      <c r="AA167" t="e">
        <f>IF(Treatments!#REF!="","",Treatments!#REF!)</f>
        <v>#REF!</v>
      </c>
    </row>
  </sheetData>
  <dataValidations count="6">
    <dataValidation type="list" allowBlank="1" sqref="C4" xr:uid="{00000000-0002-0000-0100-000000000000}">
      <formula1>"Any,Urban,Rural,Suburban"</formula1>
      <formula2>0</formula2>
    </dataValidation>
    <dataValidation type="list" allowBlank="1" sqref="C5" xr:uid="{00000000-0002-0000-0100-000001000000}">
      <formula1>"Any,Intersection,Roadway Segment,Midblock Crossing"</formula1>
      <formula2>0</formula2>
    </dataValidation>
    <dataValidation type="list" allowBlank="1" sqref="C6" xr:uid="{00000000-0002-0000-0100-000002000000}">
      <formula1>"Any,Signalized,Stop-Controlled,Uncontrolled"</formula1>
      <formula2>0</formula2>
    </dataValidation>
    <dataValidation type="list" allowBlank="1" sqref="C7" xr:uid="{00000000-0002-0000-0100-000003000000}">
      <formula1>"Angle,Rear-End,Head-On,Sideswipe,Left Turn,Right Turn,Pedestrian,Bicycle,Roadway Departure,Lane Departure,Nighttime,Wet/Friction,Speeding"</formula1>
      <formula2>0</formula2>
    </dataValidation>
    <dataValidation type="list" allowBlank="1" sqref="C11" xr:uid="{00000000-0002-0000-0100-000004000000}">
      <formula1>"Any,Freeway/Expressway,Arterial/Collector,Local"</formula1>
      <formula2>0</formula2>
    </dataValidation>
    <dataValidation type="list" allowBlank="1" sqref="C12" xr:uid="{00000000-0002-0000-0100-000005000000}">
      <formula1>"Any,All crashes,Fatal &amp; injury only"</formula1>
      <formula2>0</formula2>
    </dataValidation>
  </dataValidations>
  <pageMargins left="0.75" right="0.75" top="1" bottom="1"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K32"/>
  <sheetViews>
    <sheetView zoomScaleNormal="100" workbookViewId="0">
      <pane xSplit="2" ySplit="2" topLeftCell="C10" activePane="bottomRight" state="frozen"/>
      <selection pane="topRight" activeCell="D1" sqref="D1"/>
      <selection pane="bottomLeft" activeCell="A15" sqref="A15"/>
      <selection pane="bottomRight" activeCell="J10" sqref="J10"/>
    </sheetView>
  </sheetViews>
  <sheetFormatPr defaultColWidth="8.6640625" defaultRowHeight="13.2" x14ac:dyDescent="0.25"/>
  <cols>
    <col min="1" max="1" width="13" style="50" customWidth="1"/>
    <col min="2" max="2" width="30" style="42" customWidth="1"/>
    <col min="3" max="3" width="24" style="42" customWidth="1"/>
    <col min="4" max="4" width="15" customWidth="1"/>
    <col min="5" max="5" width="14" customWidth="1"/>
    <col min="6" max="6" width="22" customWidth="1"/>
    <col min="7" max="7" width="14" customWidth="1"/>
    <col min="8" max="9" width="24" customWidth="1"/>
    <col min="10" max="10" width="56" style="42" customWidth="1"/>
    <col min="11" max="11" width="7" customWidth="1"/>
  </cols>
  <sheetData>
    <row r="1" spans="1:11" ht="25.5" customHeight="1" x14ac:dyDescent="0.25">
      <c r="A1" s="43" t="s">
        <v>730</v>
      </c>
      <c r="B1" s="51"/>
      <c r="C1" s="51"/>
      <c r="D1" s="11"/>
      <c r="E1" s="11"/>
      <c r="F1" s="11"/>
      <c r="G1" s="11"/>
      <c r="H1" s="11"/>
      <c r="I1" s="11"/>
      <c r="J1" s="51"/>
      <c r="K1" s="11"/>
    </row>
    <row r="2" spans="1:11" ht="33.75" customHeight="1" x14ac:dyDescent="0.25">
      <c r="A2" s="44" t="s">
        <v>31</v>
      </c>
      <c r="B2" s="24" t="s">
        <v>18</v>
      </c>
      <c r="C2" s="24" t="s">
        <v>733</v>
      </c>
      <c r="D2" s="24" t="s">
        <v>94</v>
      </c>
      <c r="E2" s="24" t="s">
        <v>95</v>
      </c>
      <c r="F2" s="24" t="s">
        <v>96</v>
      </c>
      <c r="G2" s="24" t="s">
        <v>97</v>
      </c>
      <c r="H2" s="24" t="s">
        <v>98</v>
      </c>
      <c r="I2" s="24" t="s">
        <v>99</v>
      </c>
      <c r="J2" s="24" t="s">
        <v>736</v>
      </c>
      <c r="K2" s="24" t="s">
        <v>100</v>
      </c>
    </row>
    <row r="3" spans="1:11" ht="249.75" customHeight="1" x14ac:dyDescent="0.25">
      <c r="A3" s="45" t="s">
        <v>101</v>
      </c>
      <c r="B3" s="52" t="s">
        <v>102</v>
      </c>
      <c r="C3" s="58" t="s">
        <v>731</v>
      </c>
      <c r="D3" s="59" t="s">
        <v>6</v>
      </c>
      <c r="E3" s="59" t="s">
        <v>6</v>
      </c>
      <c r="F3" s="59" t="s">
        <v>103</v>
      </c>
      <c r="G3" s="59" t="s">
        <v>6</v>
      </c>
      <c r="H3" s="59" t="s">
        <v>104</v>
      </c>
      <c r="I3" s="59" t="s">
        <v>732</v>
      </c>
      <c r="J3" s="60" t="s">
        <v>105</v>
      </c>
      <c r="K3" s="21">
        <f>COUNTIF(Treatments!B:B,B3)</f>
        <v>9</v>
      </c>
    </row>
    <row r="4" spans="1:11" ht="249.75" customHeight="1" x14ac:dyDescent="0.25">
      <c r="A4" s="46" t="s">
        <v>106</v>
      </c>
      <c r="B4" s="53" t="s">
        <v>107</v>
      </c>
      <c r="C4" s="58" t="s">
        <v>776</v>
      </c>
      <c r="D4" s="59" t="s">
        <v>6</v>
      </c>
      <c r="E4" s="59" t="s">
        <v>6</v>
      </c>
      <c r="F4" s="59" t="s">
        <v>108</v>
      </c>
      <c r="G4" s="59" t="s">
        <v>6</v>
      </c>
      <c r="H4" s="59" t="s">
        <v>104</v>
      </c>
      <c r="I4" s="59" t="s">
        <v>104</v>
      </c>
      <c r="J4" s="60" t="s">
        <v>734</v>
      </c>
      <c r="K4" s="9">
        <f>COUNTIF(Treatments!B:B,B4)</f>
        <v>8</v>
      </c>
    </row>
    <row r="5" spans="1:11" ht="249.75" customHeight="1" x14ac:dyDescent="0.25">
      <c r="A5" s="46" t="s">
        <v>106</v>
      </c>
      <c r="B5" s="53" t="s">
        <v>109</v>
      </c>
      <c r="C5" s="58" t="s">
        <v>110</v>
      </c>
      <c r="D5" s="59" t="s">
        <v>111</v>
      </c>
      <c r="E5" s="59" t="s">
        <v>112</v>
      </c>
      <c r="F5" s="59" t="s">
        <v>113</v>
      </c>
      <c r="G5" s="59" t="s">
        <v>6</v>
      </c>
      <c r="H5" s="59" t="s">
        <v>104</v>
      </c>
      <c r="I5" s="59" t="s">
        <v>104</v>
      </c>
      <c r="J5" s="21" t="s">
        <v>114</v>
      </c>
      <c r="K5" s="9">
        <f>COUNTIF(Treatments!B:B,B5)</f>
        <v>3</v>
      </c>
    </row>
    <row r="6" spans="1:11" ht="249.75" customHeight="1" x14ac:dyDescent="0.25">
      <c r="A6" s="46" t="s">
        <v>106</v>
      </c>
      <c r="B6" s="53" t="s">
        <v>115</v>
      </c>
      <c r="C6" s="58" t="s">
        <v>775</v>
      </c>
      <c r="D6" s="59" t="s">
        <v>111</v>
      </c>
      <c r="E6" s="59" t="s">
        <v>112</v>
      </c>
      <c r="F6" s="59" t="s">
        <v>113</v>
      </c>
      <c r="G6" s="59" t="s">
        <v>63</v>
      </c>
      <c r="H6" s="59" t="s">
        <v>116</v>
      </c>
      <c r="I6" s="59" t="s">
        <v>104</v>
      </c>
      <c r="J6" s="21" t="s">
        <v>117</v>
      </c>
      <c r="K6" s="9">
        <f>COUNTIF(Treatments!B:B,B6)</f>
        <v>2</v>
      </c>
    </row>
    <row r="7" spans="1:11" ht="249.75" customHeight="1" x14ac:dyDescent="0.25">
      <c r="A7" s="46" t="s">
        <v>106</v>
      </c>
      <c r="B7" s="53" t="s">
        <v>118</v>
      </c>
      <c r="C7" s="58" t="s">
        <v>119</v>
      </c>
      <c r="D7" s="59" t="s">
        <v>111</v>
      </c>
      <c r="E7" s="59" t="s">
        <v>120</v>
      </c>
      <c r="F7" s="59" t="s">
        <v>121</v>
      </c>
      <c r="G7" s="59" t="s">
        <v>6</v>
      </c>
      <c r="H7" s="59" t="s">
        <v>122</v>
      </c>
      <c r="I7" s="59" t="s">
        <v>768</v>
      </c>
      <c r="J7" s="21" t="s">
        <v>123</v>
      </c>
      <c r="K7" s="9">
        <f>COUNTIF(Treatments!B:B,B7)</f>
        <v>3</v>
      </c>
    </row>
    <row r="8" spans="1:11" ht="249.75" customHeight="1" x14ac:dyDescent="0.25">
      <c r="A8" s="46" t="s">
        <v>106</v>
      </c>
      <c r="B8" s="53" t="s">
        <v>124</v>
      </c>
      <c r="C8" s="58" t="s">
        <v>773</v>
      </c>
      <c r="D8" s="59" t="s">
        <v>111</v>
      </c>
      <c r="E8" s="59" t="s">
        <v>120</v>
      </c>
      <c r="F8" s="59" t="s">
        <v>113</v>
      </c>
      <c r="G8" s="59" t="s">
        <v>125</v>
      </c>
      <c r="H8" s="59" t="s">
        <v>126</v>
      </c>
      <c r="I8" s="59" t="s">
        <v>104</v>
      </c>
      <c r="J8" s="21" t="s">
        <v>127</v>
      </c>
      <c r="K8" s="9">
        <f>COUNTIF(Treatments!B:B,B8)</f>
        <v>3</v>
      </c>
    </row>
    <row r="9" spans="1:11" ht="249.75" customHeight="1" x14ac:dyDescent="0.25">
      <c r="A9" s="46" t="s">
        <v>106</v>
      </c>
      <c r="B9" s="53" t="s">
        <v>128</v>
      </c>
      <c r="C9" s="58" t="s">
        <v>119</v>
      </c>
      <c r="D9" s="59" t="s">
        <v>111</v>
      </c>
      <c r="E9" s="59" t="s">
        <v>120</v>
      </c>
      <c r="F9" s="59" t="s">
        <v>113</v>
      </c>
      <c r="G9" s="59" t="s">
        <v>125</v>
      </c>
      <c r="H9" s="59" t="s">
        <v>104</v>
      </c>
      <c r="I9" s="59" t="s">
        <v>104</v>
      </c>
      <c r="J9" s="21" t="s">
        <v>129</v>
      </c>
      <c r="K9" s="9">
        <f>COUNTIF(Treatments!B:B,B9)</f>
        <v>2</v>
      </c>
    </row>
    <row r="10" spans="1:11" ht="249.75" customHeight="1" x14ac:dyDescent="0.25">
      <c r="A10" s="46" t="s">
        <v>106</v>
      </c>
      <c r="B10" s="53" t="s">
        <v>130</v>
      </c>
      <c r="C10" s="58" t="s">
        <v>774</v>
      </c>
      <c r="D10" s="59" t="s">
        <v>49</v>
      </c>
      <c r="E10" s="59" t="s">
        <v>6</v>
      </c>
      <c r="F10" s="59" t="s">
        <v>131</v>
      </c>
      <c r="G10" s="59" t="s">
        <v>6</v>
      </c>
      <c r="H10" s="59" t="s">
        <v>132</v>
      </c>
      <c r="I10" s="59" t="s">
        <v>133</v>
      </c>
      <c r="J10" s="21" t="s">
        <v>134</v>
      </c>
      <c r="K10" s="9">
        <f>COUNTIF(Treatments!B:B,B10)</f>
        <v>3</v>
      </c>
    </row>
    <row r="11" spans="1:11" ht="249.75" customHeight="1" x14ac:dyDescent="0.25">
      <c r="A11" s="46" t="s">
        <v>106</v>
      </c>
      <c r="B11" s="53" t="s">
        <v>135</v>
      </c>
      <c r="C11" s="58" t="s">
        <v>773</v>
      </c>
      <c r="D11" s="59" t="s">
        <v>111</v>
      </c>
      <c r="E11" s="59" t="s">
        <v>120</v>
      </c>
      <c r="F11" s="59" t="s">
        <v>121</v>
      </c>
      <c r="G11" s="59" t="s">
        <v>6</v>
      </c>
      <c r="H11" s="59" t="s">
        <v>136</v>
      </c>
      <c r="I11" s="59" t="s">
        <v>104</v>
      </c>
      <c r="J11" s="21" t="s">
        <v>137</v>
      </c>
      <c r="K11" s="9">
        <f>COUNTIF(Treatments!B:B,B11)</f>
        <v>1</v>
      </c>
    </row>
    <row r="12" spans="1:11" ht="249.75" customHeight="1" x14ac:dyDescent="0.25">
      <c r="A12" s="47" t="s">
        <v>138</v>
      </c>
      <c r="B12" s="54" t="s">
        <v>139</v>
      </c>
      <c r="C12" s="58" t="s">
        <v>771</v>
      </c>
      <c r="D12" s="59" t="s">
        <v>6</v>
      </c>
      <c r="E12" s="59" t="s">
        <v>140</v>
      </c>
      <c r="F12" s="59" t="s">
        <v>141</v>
      </c>
      <c r="G12" s="59" t="s">
        <v>6</v>
      </c>
      <c r="H12" s="59" t="s">
        <v>142</v>
      </c>
      <c r="I12" s="59" t="s">
        <v>143</v>
      </c>
      <c r="J12" s="21" t="s">
        <v>737</v>
      </c>
      <c r="K12" s="9">
        <f>COUNTIF(Treatments!B:B,B12)</f>
        <v>9</v>
      </c>
    </row>
    <row r="13" spans="1:11" ht="249.75" customHeight="1" x14ac:dyDescent="0.25">
      <c r="A13" s="47" t="s">
        <v>138</v>
      </c>
      <c r="B13" s="55" t="s">
        <v>144</v>
      </c>
      <c r="C13" s="58" t="s">
        <v>145</v>
      </c>
      <c r="D13" s="59" t="s">
        <v>146</v>
      </c>
      <c r="E13" s="59" t="s">
        <v>140</v>
      </c>
      <c r="F13" s="59" t="s">
        <v>147</v>
      </c>
      <c r="G13" s="59" t="s">
        <v>6</v>
      </c>
      <c r="H13" s="59" t="s">
        <v>148</v>
      </c>
      <c r="I13" s="59" t="s">
        <v>149</v>
      </c>
      <c r="J13" s="21" t="s">
        <v>150</v>
      </c>
      <c r="K13" s="9">
        <f>COUNTIF(Treatments!B:B,B13)</f>
        <v>5</v>
      </c>
    </row>
    <row r="14" spans="1:11" ht="249.75" customHeight="1" x14ac:dyDescent="0.25">
      <c r="A14" s="47" t="s">
        <v>138</v>
      </c>
      <c r="B14" s="55" t="s">
        <v>151</v>
      </c>
      <c r="C14" s="58" t="s">
        <v>152</v>
      </c>
      <c r="D14" s="59" t="s">
        <v>146</v>
      </c>
      <c r="E14" s="59" t="s">
        <v>140</v>
      </c>
      <c r="F14" s="59" t="s">
        <v>153</v>
      </c>
      <c r="G14" s="59" t="s">
        <v>6</v>
      </c>
      <c r="H14" s="59" t="s">
        <v>104</v>
      </c>
      <c r="I14" s="59" t="s">
        <v>143</v>
      </c>
      <c r="J14" s="21" t="s">
        <v>154</v>
      </c>
      <c r="K14" s="9">
        <f>COUNTIF(Treatments!B:B,B14)</f>
        <v>4</v>
      </c>
    </row>
    <row r="15" spans="1:11" ht="249.75" customHeight="1" x14ac:dyDescent="0.25">
      <c r="A15" s="47" t="s">
        <v>138</v>
      </c>
      <c r="B15" s="54" t="s">
        <v>155</v>
      </c>
      <c r="C15" s="58" t="s">
        <v>772</v>
      </c>
      <c r="D15" s="59" t="s">
        <v>6</v>
      </c>
      <c r="E15" s="59" t="s">
        <v>140</v>
      </c>
      <c r="F15" s="59" t="s">
        <v>156</v>
      </c>
      <c r="G15" s="59" t="s">
        <v>6</v>
      </c>
      <c r="H15" s="59" t="s">
        <v>157</v>
      </c>
      <c r="I15" s="59" t="s">
        <v>158</v>
      </c>
      <c r="J15" s="21" t="s">
        <v>159</v>
      </c>
      <c r="K15" s="9">
        <f>COUNTIF(Treatments!B:B,B15)</f>
        <v>2</v>
      </c>
    </row>
    <row r="16" spans="1:11" ht="249.75" customHeight="1" x14ac:dyDescent="0.25">
      <c r="A16" s="47" t="s">
        <v>138</v>
      </c>
      <c r="B16" s="54" t="s">
        <v>160</v>
      </c>
      <c r="C16" s="58" t="s">
        <v>771</v>
      </c>
      <c r="D16" s="59" t="s">
        <v>6</v>
      </c>
      <c r="E16" s="59" t="s">
        <v>140</v>
      </c>
      <c r="F16" s="59" t="s">
        <v>161</v>
      </c>
      <c r="G16" s="59" t="s">
        <v>6</v>
      </c>
      <c r="H16" s="59" t="s">
        <v>162</v>
      </c>
      <c r="I16" s="59" t="s">
        <v>163</v>
      </c>
      <c r="J16" s="21" t="s">
        <v>164</v>
      </c>
      <c r="K16" s="9">
        <f>COUNTIF(Treatments!B:B,B16)</f>
        <v>3</v>
      </c>
    </row>
    <row r="17" spans="1:11" ht="249.75" customHeight="1" x14ac:dyDescent="0.25">
      <c r="A17" s="47" t="s">
        <v>138</v>
      </c>
      <c r="B17" s="54" t="s">
        <v>165</v>
      </c>
      <c r="C17" s="58" t="s">
        <v>771</v>
      </c>
      <c r="D17" s="59" t="s">
        <v>6</v>
      </c>
      <c r="E17" s="59" t="s">
        <v>140</v>
      </c>
      <c r="F17" s="59" t="s">
        <v>161</v>
      </c>
      <c r="G17" s="59" t="s">
        <v>6</v>
      </c>
      <c r="H17" s="59" t="s">
        <v>166</v>
      </c>
      <c r="I17" s="59" t="s">
        <v>163</v>
      </c>
      <c r="J17" s="21" t="s">
        <v>738</v>
      </c>
      <c r="K17" s="9">
        <f>COUNTIF(Treatments!B:B,B17)</f>
        <v>2</v>
      </c>
    </row>
    <row r="18" spans="1:11" ht="249.75" customHeight="1" x14ac:dyDescent="0.25">
      <c r="A18" s="47" t="s">
        <v>138</v>
      </c>
      <c r="B18" s="54" t="s">
        <v>167</v>
      </c>
      <c r="C18" s="58" t="s">
        <v>152</v>
      </c>
      <c r="D18" s="59" t="s">
        <v>168</v>
      </c>
      <c r="E18" s="59" t="s">
        <v>140</v>
      </c>
      <c r="F18" s="59" t="s">
        <v>169</v>
      </c>
      <c r="G18" s="59" t="s">
        <v>6</v>
      </c>
      <c r="H18" s="59" t="s">
        <v>166</v>
      </c>
      <c r="I18" s="59" t="s">
        <v>143</v>
      </c>
      <c r="J18" s="21" t="s">
        <v>739</v>
      </c>
      <c r="K18" s="9">
        <f>COUNTIF(Treatments!B:B,B18)</f>
        <v>2</v>
      </c>
    </row>
    <row r="19" spans="1:11" ht="249.75" customHeight="1" x14ac:dyDescent="0.25">
      <c r="A19" s="47" t="s">
        <v>138</v>
      </c>
      <c r="B19" s="54" t="s">
        <v>170</v>
      </c>
      <c r="C19" s="58" t="s">
        <v>771</v>
      </c>
      <c r="D19" s="59" t="s">
        <v>6</v>
      </c>
      <c r="E19" s="59" t="s">
        <v>140</v>
      </c>
      <c r="F19" s="59" t="s">
        <v>169</v>
      </c>
      <c r="G19" s="59" t="s">
        <v>6</v>
      </c>
      <c r="H19" s="59" t="s">
        <v>166</v>
      </c>
      <c r="I19" s="59" t="s">
        <v>143</v>
      </c>
      <c r="J19" s="21" t="s">
        <v>739</v>
      </c>
      <c r="K19" s="9">
        <f>COUNTIF(Treatments!B:B,B19)</f>
        <v>5</v>
      </c>
    </row>
    <row r="20" spans="1:11" ht="249.75" customHeight="1" x14ac:dyDescent="0.25">
      <c r="A20" s="48" t="s">
        <v>171</v>
      </c>
      <c r="B20" s="56" t="s">
        <v>172</v>
      </c>
      <c r="C20" s="58" t="s">
        <v>777</v>
      </c>
      <c r="D20" s="59" t="s">
        <v>6</v>
      </c>
      <c r="E20" s="59" t="s">
        <v>112</v>
      </c>
      <c r="F20" s="59" t="s">
        <v>173</v>
      </c>
      <c r="G20" s="59" t="s">
        <v>63</v>
      </c>
      <c r="H20" s="59" t="s">
        <v>104</v>
      </c>
      <c r="I20" s="59" t="s">
        <v>104</v>
      </c>
      <c r="J20" s="21" t="s">
        <v>174</v>
      </c>
      <c r="K20" s="9">
        <f>COUNTIF(Treatments!B:B,B20)</f>
        <v>1</v>
      </c>
    </row>
    <row r="21" spans="1:11" ht="249.75" customHeight="1" x14ac:dyDescent="0.25">
      <c r="A21" s="48" t="s">
        <v>171</v>
      </c>
      <c r="B21" s="56" t="s">
        <v>175</v>
      </c>
      <c r="C21" s="58" t="s">
        <v>770</v>
      </c>
      <c r="D21" s="59" t="s">
        <v>111</v>
      </c>
      <c r="E21" s="59" t="s">
        <v>176</v>
      </c>
      <c r="F21" s="59" t="s">
        <v>177</v>
      </c>
      <c r="G21" s="59" t="s">
        <v>6</v>
      </c>
      <c r="H21" s="59" t="s">
        <v>104</v>
      </c>
      <c r="I21" s="59" t="s">
        <v>178</v>
      </c>
      <c r="J21" s="21" t="s">
        <v>179</v>
      </c>
      <c r="K21" s="9">
        <f>COUNTIF(Treatments!B:B,B21)</f>
        <v>6</v>
      </c>
    </row>
    <row r="22" spans="1:11" ht="249.75" customHeight="1" x14ac:dyDescent="0.25">
      <c r="A22" s="48" t="s">
        <v>171</v>
      </c>
      <c r="B22" s="56" t="s">
        <v>180</v>
      </c>
      <c r="C22" s="58" t="s">
        <v>778</v>
      </c>
      <c r="D22" s="59" t="s">
        <v>6</v>
      </c>
      <c r="E22" s="59" t="s">
        <v>112</v>
      </c>
      <c r="F22" s="59" t="s">
        <v>181</v>
      </c>
      <c r="G22" s="59" t="s">
        <v>6</v>
      </c>
      <c r="H22" s="59" t="s">
        <v>182</v>
      </c>
      <c r="I22" s="59" t="s">
        <v>104</v>
      </c>
      <c r="J22" s="21" t="s">
        <v>740</v>
      </c>
      <c r="K22" s="9">
        <f>COUNTIF(Treatments!B:B,B22)</f>
        <v>6</v>
      </c>
    </row>
    <row r="23" spans="1:11" ht="249.75" customHeight="1" x14ac:dyDescent="0.25">
      <c r="A23" s="48" t="s">
        <v>171</v>
      </c>
      <c r="B23" s="56" t="s">
        <v>183</v>
      </c>
      <c r="C23" s="58" t="s">
        <v>778</v>
      </c>
      <c r="D23" s="59" t="s">
        <v>6</v>
      </c>
      <c r="E23" s="59" t="s">
        <v>112</v>
      </c>
      <c r="F23" s="59" t="s">
        <v>184</v>
      </c>
      <c r="G23" s="59" t="s">
        <v>6</v>
      </c>
      <c r="H23" s="59" t="s">
        <v>182</v>
      </c>
      <c r="I23" s="59" t="s">
        <v>104</v>
      </c>
      <c r="J23" s="21" t="s">
        <v>741</v>
      </c>
      <c r="K23" s="9">
        <f>COUNTIF(Treatments!B:B,B23)</f>
        <v>7</v>
      </c>
    </row>
    <row r="24" spans="1:11" ht="249.75" customHeight="1" x14ac:dyDescent="0.25">
      <c r="A24" s="48" t="s">
        <v>171</v>
      </c>
      <c r="B24" s="56" t="s">
        <v>185</v>
      </c>
      <c r="C24" s="58" t="s">
        <v>779</v>
      </c>
      <c r="D24" s="59" t="s">
        <v>6</v>
      </c>
      <c r="E24" s="59" t="s">
        <v>112</v>
      </c>
      <c r="F24" s="59" t="s">
        <v>186</v>
      </c>
      <c r="G24" s="59" t="s">
        <v>6</v>
      </c>
      <c r="H24" s="59" t="s">
        <v>104</v>
      </c>
      <c r="I24" s="59" t="s">
        <v>104</v>
      </c>
      <c r="J24" s="21" t="s">
        <v>742</v>
      </c>
      <c r="K24" s="9">
        <f>COUNTIF(Treatments!B:B,B24)</f>
        <v>6</v>
      </c>
    </row>
    <row r="25" spans="1:11" ht="249.75" customHeight="1" x14ac:dyDescent="0.25">
      <c r="A25" s="48" t="s">
        <v>171</v>
      </c>
      <c r="B25" s="56" t="s">
        <v>187</v>
      </c>
      <c r="C25" s="58" t="s">
        <v>769</v>
      </c>
      <c r="D25" s="59" t="s">
        <v>6</v>
      </c>
      <c r="E25" s="59" t="s">
        <v>112</v>
      </c>
      <c r="F25" s="59" t="s">
        <v>186</v>
      </c>
      <c r="G25" s="59" t="s">
        <v>63</v>
      </c>
      <c r="H25" s="59" t="s">
        <v>104</v>
      </c>
      <c r="I25" s="59" t="s">
        <v>104</v>
      </c>
      <c r="J25" s="21" t="s">
        <v>188</v>
      </c>
      <c r="K25" s="9">
        <f>COUNTIF(Treatments!B:B,B25)</f>
        <v>6</v>
      </c>
    </row>
    <row r="26" spans="1:11" ht="249.75" customHeight="1" x14ac:dyDescent="0.25">
      <c r="A26" s="48" t="s">
        <v>171</v>
      </c>
      <c r="B26" s="56" t="s">
        <v>189</v>
      </c>
      <c r="C26" s="58" t="s">
        <v>777</v>
      </c>
      <c r="D26" s="59" t="s">
        <v>6</v>
      </c>
      <c r="E26" s="59" t="s">
        <v>112</v>
      </c>
      <c r="F26" s="59" t="s">
        <v>190</v>
      </c>
      <c r="G26" s="59" t="s">
        <v>6</v>
      </c>
      <c r="H26" s="59" t="s">
        <v>182</v>
      </c>
      <c r="I26" s="59" t="s">
        <v>104</v>
      </c>
      <c r="J26" s="21" t="s">
        <v>191</v>
      </c>
      <c r="K26" s="9">
        <f>COUNTIF(Treatments!B:B,B26)</f>
        <v>8</v>
      </c>
    </row>
    <row r="27" spans="1:11" ht="249.75" customHeight="1" x14ac:dyDescent="0.25">
      <c r="A27" s="48" t="s">
        <v>171</v>
      </c>
      <c r="B27" s="56" t="s">
        <v>192</v>
      </c>
      <c r="C27" s="58" t="s">
        <v>780</v>
      </c>
      <c r="D27" s="59" t="s">
        <v>6</v>
      </c>
      <c r="E27" s="59" t="s">
        <v>112</v>
      </c>
      <c r="F27" s="59" t="s">
        <v>193</v>
      </c>
      <c r="G27" s="59" t="s">
        <v>194</v>
      </c>
      <c r="H27" s="59" t="s">
        <v>104</v>
      </c>
      <c r="I27" s="59" t="s">
        <v>104</v>
      </c>
      <c r="J27" s="21" t="s">
        <v>195</v>
      </c>
      <c r="K27" s="9">
        <f>COUNTIF(Treatments!B:B,B27)</f>
        <v>1</v>
      </c>
    </row>
    <row r="28" spans="1:11" ht="249.75" customHeight="1" x14ac:dyDescent="0.25">
      <c r="A28" s="48" t="s">
        <v>171</v>
      </c>
      <c r="B28" s="56" t="s">
        <v>196</v>
      </c>
      <c r="C28" s="58" t="s">
        <v>777</v>
      </c>
      <c r="D28" s="59" t="s">
        <v>55</v>
      </c>
      <c r="E28" s="59" t="s">
        <v>112</v>
      </c>
      <c r="F28" s="59" t="s">
        <v>193</v>
      </c>
      <c r="G28" s="59" t="s">
        <v>194</v>
      </c>
      <c r="H28" s="59" t="s">
        <v>104</v>
      </c>
      <c r="I28" s="59" t="s">
        <v>104</v>
      </c>
      <c r="J28" s="21" t="s">
        <v>197</v>
      </c>
      <c r="K28" s="9">
        <f>COUNTIF(Treatments!B:B,B28)</f>
        <v>6</v>
      </c>
    </row>
    <row r="29" spans="1:11" ht="249.75" customHeight="1" x14ac:dyDescent="0.25">
      <c r="A29" s="48" t="s">
        <v>171</v>
      </c>
      <c r="B29" s="56" t="s">
        <v>198</v>
      </c>
      <c r="C29" s="58" t="s">
        <v>777</v>
      </c>
      <c r="D29" s="59" t="s">
        <v>6</v>
      </c>
      <c r="E29" s="59" t="s">
        <v>112</v>
      </c>
      <c r="F29" s="59" t="s">
        <v>199</v>
      </c>
      <c r="G29" s="59" t="s">
        <v>194</v>
      </c>
      <c r="H29" s="59" t="s">
        <v>104</v>
      </c>
      <c r="I29" s="59" t="s">
        <v>200</v>
      </c>
      <c r="J29" s="21" t="s">
        <v>201</v>
      </c>
      <c r="K29" s="9">
        <f>COUNTIF(Treatments!B:B,B29)</f>
        <v>5</v>
      </c>
    </row>
    <row r="30" spans="1:11" ht="249.75" customHeight="1" x14ac:dyDescent="0.25">
      <c r="A30" s="48" t="s">
        <v>171</v>
      </c>
      <c r="B30" s="56" t="s">
        <v>202</v>
      </c>
      <c r="C30" s="58" t="s">
        <v>778</v>
      </c>
      <c r="D30" s="59" t="s">
        <v>6</v>
      </c>
      <c r="E30" s="59" t="s">
        <v>112</v>
      </c>
      <c r="F30" s="59" t="s">
        <v>203</v>
      </c>
      <c r="G30" s="59" t="s">
        <v>63</v>
      </c>
      <c r="H30" s="59" t="s">
        <v>204</v>
      </c>
      <c r="I30" s="59" t="s">
        <v>104</v>
      </c>
      <c r="J30" s="21" t="s">
        <v>205</v>
      </c>
      <c r="K30" s="9">
        <f>COUNTIF(Treatments!B:B,B30)</f>
        <v>2</v>
      </c>
    </row>
    <row r="31" spans="1:11" ht="249.75" customHeight="1" x14ac:dyDescent="0.25">
      <c r="A31" s="49" t="s">
        <v>206</v>
      </c>
      <c r="B31" s="57" t="s">
        <v>207</v>
      </c>
      <c r="C31" s="58" t="s">
        <v>781</v>
      </c>
      <c r="D31" s="25" t="s">
        <v>6</v>
      </c>
      <c r="E31" s="25" t="s">
        <v>6</v>
      </c>
      <c r="F31" s="25" t="s">
        <v>208</v>
      </c>
      <c r="G31" s="25" t="s">
        <v>6</v>
      </c>
      <c r="H31" s="25" t="s">
        <v>209</v>
      </c>
      <c r="I31" s="25" t="s">
        <v>210</v>
      </c>
      <c r="J31" s="21" t="s">
        <v>211</v>
      </c>
      <c r="K31" s="9">
        <f>COUNTIF(Treatments!B:B,B31)</f>
        <v>5</v>
      </c>
    </row>
    <row r="32" spans="1:11" ht="249.75" customHeight="1" x14ac:dyDescent="0.25">
      <c r="A32" s="49" t="s">
        <v>206</v>
      </c>
      <c r="B32" s="57" t="s">
        <v>212</v>
      </c>
      <c r="C32" s="58" t="s">
        <v>782</v>
      </c>
      <c r="D32" s="25" t="s">
        <v>6</v>
      </c>
      <c r="E32" s="25" t="s">
        <v>6</v>
      </c>
      <c r="F32" s="25" t="s">
        <v>213</v>
      </c>
      <c r="G32" s="25" t="s">
        <v>6</v>
      </c>
      <c r="H32" s="25" t="s">
        <v>214</v>
      </c>
      <c r="I32" s="25" t="s">
        <v>143</v>
      </c>
      <c r="J32" s="21" t="s">
        <v>735</v>
      </c>
      <c r="K32" s="9">
        <f>COUNTIF(Treatments!B:B,B32)</f>
        <v>8</v>
      </c>
    </row>
  </sheetData>
  <autoFilter ref="A2:K32" xr:uid="{00000000-0009-0000-0000-000003000000}"/>
  <pageMargins left="0.75" right="0.75" top="1" bottom="1"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35"/>
  <sheetViews>
    <sheetView tabSelected="1" zoomScaleNormal="100" workbookViewId="0">
      <pane xSplit="2" ySplit="2" topLeftCell="C115" activePane="bottomRight" state="frozen"/>
      <selection pane="topRight" activeCell="C1" sqref="C1"/>
      <selection pane="bottomLeft" activeCell="A3" sqref="A3"/>
      <selection pane="bottomRight" activeCell="B120" sqref="B120"/>
    </sheetView>
  </sheetViews>
  <sheetFormatPr defaultColWidth="8.6640625" defaultRowHeight="13.2" x14ac:dyDescent="0.25"/>
  <cols>
    <col min="1" max="1" width="58" customWidth="1"/>
    <col min="2" max="2" width="42" customWidth="1"/>
    <col min="3" max="12" width="10" customWidth="1"/>
    <col min="13" max="13" width="19" customWidth="1"/>
    <col min="14" max="14" width="6" customWidth="1"/>
    <col min="15" max="15" width="15" customWidth="1"/>
    <col min="16" max="17" width="8" customWidth="1"/>
    <col min="18" max="18" width="18" customWidth="1"/>
    <col min="19" max="19" width="22" customWidth="1"/>
    <col min="20" max="20" width="24" customWidth="1"/>
    <col min="21" max="23" width="10" customWidth="1"/>
    <col min="24" max="24" width="22" customWidth="1"/>
    <col min="25" max="25" width="10" customWidth="1"/>
    <col min="26" max="26" width="7" customWidth="1"/>
    <col min="27" max="27" width="24" customWidth="1"/>
    <col min="28" max="28" width="22" customWidth="1"/>
    <col min="29" max="29" width="58" customWidth="1"/>
    <col min="30" max="30" width="16" customWidth="1"/>
    <col min="31" max="31" width="15" customWidth="1"/>
    <col min="32" max="32" width="24" customWidth="1"/>
    <col min="33" max="33" width="52" customWidth="1"/>
    <col min="34" max="34" width="11" customWidth="1"/>
  </cols>
  <sheetData>
    <row r="1" spans="1:34" ht="25.5" customHeight="1" x14ac:dyDescent="0.25">
      <c r="A1" s="1" t="s">
        <v>743</v>
      </c>
      <c r="B1" s="1"/>
      <c r="C1" s="1"/>
      <c r="D1" s="1"/>
      <c r="E1" s="1"/>
      <c r="F1" s="1"/>
      <c r="G1" s="1"/>
      <c r="H1" s="1"/>
      <c r="I1" s="1"/>
      <c r="J1" s="1"/>
      <c r="K1" s="1"/>
      <c r="L1" s="1"/>
      <c r="M1" s="1"/>
      <c r="N1" s="1"/>
      <c r="O1" s="1"/>
      <c r="P1" s="1"/>
      <c r="Q1" s="1"/>
      <c r="R1" s="1"/>
      <c r="S1" s="1"/>
      <c r="T1" s="1"/>
      <c r="U1" s="1"/>
      <c r="V1" s="1"/>
      <c r="W1" s="1"/>
      <c r="X1" s="1"/>
      <c r="Y1" s="1"/>
      <c r="Z1" s="1"/>
      <c r="AA1" s="1"/>
      <c r="AB1" s="1"/>
      <c r="AC1" s="1"/>
    </row>
    <row r="2" spans="1:34" ht="39.75" customHeight="1" x14ac:dyDescent="0.25">
      <c r="A2" s="26" t="s">
        <v>17</v>
      </c>
      <c r="B2" s="26" t="s">
        <v>18</v>
      </c>
      <c r="C2" s="26" t="s">
        <v>215</v>
      </c>
      <c r="D2" s="26" t="s">
        <v>216</v>
      </c>
      <c r="E2" s="26" t="s">
        <v>217</v>
      </c>
      <c r="F2" s="26" t="s">
        <v>218</v>
      </c>
      <c r="G2" s="26" t="s">
        <v>219</v>
      </c>
      <c r="H2" s="26" t="s">
        <v>220</v>
      </c>
      <c r="I2" s="26" t="s">
        <v>221</v>
      </c>
      <c r="J2" s="26" t="s">
        <v>222</v>
      </c>
      <c r="K2" s="26" t="s">
        <v>223</v>
      </c>
      <c r="L2" s="26" t="s">
        <v>224</v>
      </c>
      <c r="M2" s="26" t="s">
        <v>24</v>
      </c>
      <c r="N2" s="26" t="s">
        <v>21</v>
      </c>
      <c r="O2" s="26" t="s">
        <v>5</v>
      </c>
      <c r="P2" s="26" t="s">
        <v>20</v>
      </c>
      <c r="Q2" s="26" t="s">
        <v>225</v>
      </c>
      <c r="R2" s="26" t="s">
        <v>226</v>
      </c>
      <c r="S2" s="26" t="s">
        <v>227</v>
      </c>
      <c r="T2" s="26" t="s">
        <v>228</v>
      </c>
      <c r="U2" s="26" t="s">
        <v>229</v>
      </c>
      <c r="V2" s="26" t="s">
        <v>230</v>
      </c>
      <c r="W2" s="26" t="s">
        <v>231</v>
      </c>
      <c r="X2" s="26" t="s">
        <v>232</v>
      </c>
      <c r="Y2" s="26" t="s">
        <v>233</v>
      </c>
      <c r="Z2" s="26" t="s">
        <v>234</v>
      </c>
      <c r="AA2" s="26" t="s">
        <v>235</v>
      </c>
      <c r="AB2" s="26" t="s">
        <v>236</v>
      </c>
      <c r="AC2" s="26" t="s">
        <v>237</v>
      </c>
      <c r="AD2" s="18" t="s">
        <v>744</v>
      </c>
      <c r="AE2" s="18" t="s">
        <v>238</v>
      </c>
      <c r="AF2" s="18" t="s">
        <v>239</v>
      </c>
      <c r="AG2" s="18" t="s">
        <v>240</v>
      </c>
      <c r="AH2" s="18" t="s">
        <v>241</v>
      </c>
    </row>
    <row r="3" spans="1:34" ht="45.75" customHeight="1" x14ac:dyDescent="0.25">
      <c r="A3" s="27" t="s">
        <v>242</v>
      </c>
      <c r="B3" s="28" t="s">
        <v>102</v>
      </c>
      <c r="C3" s="29">
        <v>0.63200000000000001</v>
      </c>
      <c r="D3" s="29">
        <v>0.63200000000000001</v>
      </c>
      <c r="E3" s="29">
        <v>0.63200000000000001</v>
      </c>
      <c r="F3" s="29">
        <v>0.63200000000000001</v>
      </c>
      <c r="G3" s="29">
        <v>0.63200000000000001</v>
      </c>
      <c r="H3" s="29">
        <v>20</v>
      </c>
      <c r="I3" s="30"/>
      <c r="J3" s="30"/>
      <c r="K3" s="30"/>
      <c r="L3" s="30" t="s">
        <v>243</v>
      </c>
      <c r="M3" s="31" t="s">
        <v>244</v>
      </c>
      <c r="N3" s="29">
        <v>5</v>
      </c>
      <c r="O3" s="30" t="s">
        <v>49</v>
      </c>
      <c r="P3" s="29">
        <f t="shared" ref="P3:P34" si="0">C3</f>
        <v>0.63200000000000001</v>
      </c>
      <c r="Q3" s="29">
        <f t="shared" ref="Q3:Q34" si="1">IF(ISNUMBER(P3),ROUND((1-P3)*100,1),"NR")</f>
        <v>36.799999999999997</v>
      </c>
      <c r="R3" s="30" t="s">
        <v>245</v>
      </c>
      <c r="S3" s="30" t="s">
        <v>54</v>
      </c>
      <c r="T3" s="30" t="s">
        <v>246</v>
      </c>
      <c r="U3" s="29" t="s">
        <v>247</v>
      </c>
      <c r="V3" s="29" t="s">
        <v>247</v>
      </c>
      <c r="W3" s="29" t="str">
        <f t="shared" ref="W3:W34" si="2">IF(AND(ISNUMBER(U3),ISNUMBER(V3)),ROUND((U3+V3)/2,0),IF(ISNUMBER(U3),U3,IF(ISNUMBER(V3),V3,"NR")))</f>
        <v>NR</v>
      </c>
      <c r="X3" s="30" t="s">
        <v>248</v>
      </c>
      <c r="Y3" s="30" t="s">
        <v>249</v>
      </c>
      <c r="Z3" s="30" t="s">
        <v>250</v>
      </c>
      <c r="AA3" s="30" t="s">
        <v>251</v>
      </c>
      <c r="AB3" s="30" t="s">
        <v>252</v>
      </c>
      <c r="AC3" s="30" t="s">
        <v>253</v>
      </c>
      <c r="AD3" s="9" t="s">
        <v>112</v>
      </c>
      <c r="AE3" s="9" t="s">
        <v>254</v>
      </c>
      <c r="AF3" s="9" t="s">
        <v>199</v>
      </c>
      <c r="AG3" s="9" t="s">
        <v>255</v>
      </c>
      <c r="AH3" s="9" t="s">
        <v>256</v>
      </c>
    </row>
    <row r="4" spans="1:34" ht="90.75" customHeight="1" x14ac:dyDescent="0.25">
      <c r="A4" s="27" t="s">
        <v>257</v>
      </c>
      <c r="B4" s="28" t="s">
        <v>102</v>
      </c>
      <c r="C4" s="29">
        <v>0.46</v>
      </c>
      <c r="D4" s="29">
        <v>0.46</v>
      </c>
      <c r="E4" s="29">
        <v>0.46</v>
      </c>
      <c r="F4" s="29">
        <v>0.46</v>
      </c>
      <c r="G4" s="29">
        <v>0.46</v>
      </c>
      <c r="H4" s="29">
        <v>20</v>
      </c>
      <c r="I4" s="30"/>
      <c r="J4" s="30"/>
      <c r="K4" s="30"/>
      <c r="L4" s="30" t="s">
        <v>258</v>
      </c>
      <c r="M4" s="31" t="s">
        <v>244</v>
      </c>
      <c r="N4" s="29">
        <v>4</v>
      </c>
      <c r="O4" s="30" t="s">
        <v>49</v>
      </c>
      <c r="P4" s="29">
        <f t="shared" si="0"/>
        <v>0.46</v>
      </c>
      <c r="Q4" s="29">
        <f t="shared" si="1"/>
        <v>54</v>
      </c>
      <c r="R4" s="30" t="s">
        <v>54</v>
      </c>
      <c r="S4" s="30" t="s">
        <v>54</v>
      </c>
      <c r="T4" s="30" t="s">
        <v>259</v>
      </c>
      <c r="U4" s="29" t="s">
        <v>247</v>
      </c>
      <c r="V4" s="29" t="s">
        <v>247</v>
      </c>
      <c r="W4" s="29" t="str">
        <f t="shared" si="2"/>
        <v>NR</v>
      </c>
      <c r="X4" s="30" t="s">
        <v>248</v>
      </c>
      <c r="Y4" s="30" t="s">
        <v>247</v>
      </c>
      <c r="Z4" s="30" t="s">
        <v>250</v>
      </c>
      <c r="AA4" s="30" t="s">
        <v>260</v>
      </c>
      <c r="AB4" s="30" t="s">
        <v>252</v>
      </c>
      <c r="AC4" s="30" t="s">
        <v>746</v>
      </c>
      <c r="AD4" s="9" t="s">
        <v>112</v>
      </c>
      <c r="AE4" s="9" t="s">
        <v>261</v>
      </c>
      <c r="AF4" s="9" t="s">
        <v>199</v>
      </c>
      <c r="AG4" s="9" t="s">
        <v>262</v>
      </c>
      <c r="AH4" s="9" t="s">
        <v>256</v>
      </c>
    </row>
    <row r="5" spans="1:34" ht="23.25" customHeight="1" x14ac:dyDescent="0.25">
      <c r="A5" s="27" t="s">
        <v>263</v>
      </c>
      <c r="B5" s="28" t="s">
        <v>102</v>
      </c>
      <c r="C5" s="29">
        <v>0.66</v>
      </c>
      <c r="D5" s="29">
        <v>0.66</v>
      </c>
      <c r="E5" s="29">
        <v>0.66</v>
      </c>
      <c r="F5" s="29">
        <v>0.66</v>
      </c>
      <c r="G5" s="29">
        <v>0.66</v>
      </c>
      <c r="H5" s="29">
        <v>20</v>
      </c>
      <c r="I5" s="30"/>
      <c r="J5" s="30"/>
      <c r="K5" s="30"/>
      <c r="L5" s="30" t="s">
        <v>264</v>
      </c>
      <c r="M5" s="31" t="s">
        <v>244</v>
      </c>
      <c r="N5" s="29">
        <v>3</v>
      </c>
      <c r="O5" s="30" t="s">
        <v>265</v>
      </c>
      <c r="P5" s="29">
        <f t="shared" si="0"/>
        <v>0.66</v>
      </c>
      <c r="Q5" s="29">
        <f t="shared" si="1"/>
        <v>34</v>
      </c>
      <c r="R5" s="30" t="s">
        <v>54</v>
      </c>
      <c r="S5" s="30" t="s">
        <v>54</v>
      </c>
      <c r="T5" s="30" t="s">
        <v>266</v>
      </c>
      <c r="U5" s="29">
        <v>10194</v>
      </c>
      <c r="V5" s="29">
        <v>11090</v>
      </c>
      <c r="W5" s="29">
        <f t="shared" si="2"/>
        <v>10642</v>
      </c>
      <c r="X5" s="30" t="s">
        <v>248</v>
      </c>
      <c r="Y5" s="30" t="s">
        <v>267</v>
      </c>
      <c r="Z5" s="30" t="s">
        <v>250</v>
      </c>
      <c r="AA5" s="30" t="s">
        <v>268</v>
      </c>
      <c r="AB5" s="30" t="s">
        <v>269</v>
      </c>
      <c r="AC5" s="30"/>
      <c r="AD5" s="9" t="s">
        <v>112</v>
      </c>
      <c r="AE5" s="9" t="s">
        <v>261</v>
      </c>
      <c r="AF5" s="9" t="s">
        <v>199</v>
      </c>
      <c r="AG5" s="9" t="s">
        <v>270</v>
      </c>
      <c r="AH5" s="9" t="s">
        <v>256</v>
      </c>
    </row>
    <row r="6" spans="1:34" ht="45.75" customHeight="1" x14ac:dyDescent="0.25">
      <c r="A6" s="27" t="s">
        <v>271</v>
      </c>
      <c r="B6" s="28" t="s">
        <v>102</v>
      </c>
      <c r="C6" s="29">
        <v>0.86099999999999999</v>
      </c>
      <c r="D6" s="29">
        <v>0.86099999999999999</v>
      </c>
      <c r="E6" s="29">
        <v>0.86099999999999999</v>
      </c>
      <c r="F6" s="29">
        <v>0.86099999999999999</v>
      </c>
      <c r="G6" s="29">
        <v>0.86099999999999999</v>
      </c>
      <c r="H6" s="29">
        <v>20</v>
      </c>
      <c r="I6" s="30"/>
      <c r="J6" s="30"/>
      <c r="K6" s="30"/>
      <c r="L6" s="30" t="s">
        <v>272</v>
      </c>
      <c r="M6" s="32" t="s">
        <v>273</v>
      </c>
      <c r="N6" s="29">
        <v>4</v>
      </c>
      <c r="O6" s="30" t="s">
        <v>248</v>
      </c>
      <c r="P6" s="29">
        <f t="shared" si="0"/>
        <v>0.86099999999999999</v>
      </c>
      <c r="Q6" s="29">
        <f t="shared" si="1"/>
        <v>13.9</v>
      </c>
      <c r="R6" s="30" t="s">
        <v>274</v>
      </c>
      <c r="S6" s="30" t="s">
        <v>54</v>
      </c>
      <c r="T6" s="30" t="s">
        <v>266</v>
      </c>
      <c r="U6" s="29">
        <v>53729</v>
      </c>
      <c r="V6" s="29">
        <v>282619</v>
      </c>
      <c r="W6" s="29">
        <f t="shared" si="2"/>
        <v>168174</v>
      </c>
      <c r="X6" s="30" t="s">
        <v>248</v>
      </c>
      <c r="Y6" s="30" t="s">
        <v>247</v>
      </c>
      <c r="Z6" s="30" t="s">
        <v>250</v>
      </c>
      <c r="AA6" s="30" t="s">
        <v>275</v>
      </c>
      <c r="AB6" s="30" t="s">
        <v>252</v>
      </c>
      <c r="AC6" s="30" t="s">
        <v>276</v>
      </c>
      <c r="AD6" s="9" t="s">
        <v>112</v>
      </c>
      <c r="AE6" s="9" t="s">
        <v>254</v>
      </c>
      <c r="AF6" s="9" t="s">
        <v>199</v>
      </c>
      <c r="AG6" s="9" t="s">
        <v>277</v>
      </c>
      <c r="AH6" s="9" t="s">
        <v>256</v>
      </c>
    </row>
    <row r="7" spans="1:34" ht="34.5" customHeight="1" x14ac:dyDescent="0.25">
      <c r="A7" s="27" t="s">
        <v>278</v>
      </c>
      <c r="B7" s="28" t="s">
        <v>102</v>
      </c>
      <c r="C7" s="29">
        <v>0.93</v>
      </c>
      <c r="D7" s="29">
        <v>0.93</v>
      </c>
      <c r="E7" s="29">
        <v>0.93</v>
      </c>
      <c r="F7" s="29">
        <v>0.93</v>
      </c>
      <c r="G7" s="29">
        <v>0.93</v>
      </c>
      <c r="H7" s="29">
        <v>20</v>
      </c>
      <c r="I7" s="30"/>
      <c r="J7" s="30"/>
      <c r="K7" s="30"/>
      <c r="L7" s="30" t="s">
        <v>279</v>
      </c>
      <c r="M7" s="32" t="s">
        <v>273</v>
      </c>
      <c r="N7" s="29">
        <v>4</v>
      </c>
      <c r="O7" s="30" t="s">
        <v>55</v>
      </c>
      <c r="P7" s="29">
        <f t="shared" si="0"/>
        <v>0.93</v>
      </c>
      <c r="Q7" s="29">
        <f t="shared" si="1"/>
        <v>7</v>
      </c>
      <c r="R7" s="30" t="s">
        <v>54</v>
      </c>
      <c r="S7" s="30" t="s">
        <v>54</v>
      </c>
      <c r="T7" s="30" t="s">
        <v>265</v>
      </c>
      <c r="U7" s="29">
        <v>400</v>
      </c>
      <c r="V7" s="29">
        <v>8400</v>
      </c>
      <c r="W7" s="29">
        <f t="shared" si="2"/>
        <v>4400</v>
      </c>
      <c r="X7" s="30" t="s">
        <v>248</v>
      </c>
      <c r="Y7" s="30" t="s">
        <v>280</v>
      </c>
      <c r="Z7" s="30" t="s">
        <v>250</v>
      </c>
      <c r="AA7" s="30" t="s">
        <v>281</v>
      </c>
      <c r="AB7" s="30" t="s">
        <v>252</v>
      </c>
      <c r="AC7" s="30" t="s">
        <v>282</v>
      </c>
      <c r="AD7" s="9" t="s">
        <v>112</v>
      </c>
      <c r="AE7" s="9" t="s">
        <v>261</v>
      </c>
      <c r="AF7" s="9" t="s">
        <v>199</v>
      </c>
      <c r="AG7" s="9" t="s">
        <v>283</v>
      </c>
      <c r="AH7" s="9" t="s">
        <v>256</v>
      </c>
    </row>
    <row r="8" spans="1:34" ht="34.5" customHeight="1" x14ac:dyDescent="0.25">
      <c r="A8" s="27" t="s">
        <v>242</v>
      </c>
      <c r="B8" s="28" t="s">
        <v>102</v>
      </c>
      <c r="C8" s="29">
        <v>0.56299999999999994</v>
      </c>
      <c r="D8" s="29">
        <v>0.56299999999999994</v>
      </c>
      <c r="E8" s="29">
        <v>0.56299999999999994</v>
      </c>
      <c r="F8" s="29">
        <v>0.56299999999999994</v>
      </c>
      <c r="G8" s="29">
        <v>0.56299999999999994</v>
      </c>
      <c r="H8" s="29">
        <v>20</v>
      </c>
      <c r="I8" s="30"/>
      <c r="J8" s="30"/>
      <c r="K8" s="30"/>
      <c r="L8" s="30" t="s">
        <v>284</v>
      </c>
      <c r="M8" s="32" t="s">
        <v>273</v>
      </c>
      <c r="N8" s="29">
        <v>5</v>
      </c>
      <c r="O8" s="30" t="s">
        <v>49</v>
      </c>
      <c r="P8" s="29">
        <f t="shared" si="0"/>
        <v>0.56299999999999994</v>
      </c>
      <c r="Q8" s="29">
        <f t="shared" si="1"/>
        <v>43.7</v>
      </c>
      <c r="R8" s="30" t="s">
        <v>54</v>
      </c>
      <c r="S8" s="30" t="s">
        <v>285</v>
      </c>
      <c r="T8" s="30" t="s">
        <v>246</v>
      </c>
      <c r="U8" s="29" t="s">
        <v>247</v>
      </c>
      <c r="V8" s="29" t="s">
        <v>247</v>
      </c>
      <c r="W8" s="29" t="str">
        <f t="shared" si="2"/>
        <v>NR</v>
      </c>
      <c r="X8" s="30" t="s">
        <v>248</v>
      </c>
      <c r="Y8" s="30" t="s">
        <v>249</v>
      </c>
      <c r="Z8" s="30" t="s">
        <v>250</v>
      </c>
      <c r="AA8" s="30" t="s">
        <v>251</v>
      </c>
      <c r="AB8" s="30" t="s">
        <v>252</v>
      </c>
      <c r="AC8" s="30" t="s">
        <v>253</v>
      </c>
      <c r="AD8" s="9" t="s">
        <v>112</v>
      </c>
      <c r="AE8" s="9" t="s">
        <v>261</v>
      </c>
      <c r="AF8" s="9" t="s">
        <v>286</v>
      </c>
      <c r="AG8" s="9" t="s">
        <v>255</v>
      </c>
      <c r="AH8" s="9" t="s">
        <v>112</v>
      </c>
    </row>
    <row r="9" spans="1:34" ht="79.5" customHeight="1" x14ac:dyDescent="0.25">
      <c r="A9" s="27" t="s">
        <v>287</v>
      </c>
      <c r="B9" s="28" t="s">
        <v>102</v>
      </c>
      <c r="C9" s="29">
        <v>0.79900000000000004</v>
      </c>
      <c r="D9" s="29">
        <v>0.79900000000000004</v>
      </c>
      <c r="E9" s="29">
        <v>0.79900000000000004</v>
      </c>
      <c r="F9" s="29">
        <v>0.79900000000000004</v>
      </c>
      <c r="G9" s="29">
        <v>0.79900000000000004</v>
      </c>
      <c r="H9" s="29">
        <v>20</v>
      </c>
      <c r="I9" s="30"/>
      <c r="J9" s="30"/>
      <c r="K9" s="30"/>
      <c r="L9" s="30" t="s">
        <v>288</v>
      </c>
      <c r="M9" s="32" t="s">
        <v>273</v>
      </c>
      <c r="N9" s="29">
        <v>5</v>
      </c>
      <c r="O9" s="30" t="s">
        <v>49</v>
      </c>
      <c r="P9" s="29">
        <f t="shared" si="0"/>
        <v>0.79900000000000004</v>
      </c>
      <c r="Q9" s="29">
        <f t="shared" si="1"/>
        <v>20.100000000000001</v>
      </c>
      <c r="R9" s="30" t="s">
        <v>245</v>
      </c>
      <c r="S9" s="30" t="s">
        <v>54</v>
      </c>
      <c r="T9" s="30" t="s">
        <v>259</v>
      </c>
      <c r="U9" s="29">
        <v>2079</v>
      </c>
      <c r="V9" s="29">
        <v>22960</v>
      </c>
      <c r="W9" s="29">
        <f t="shared" si="2"/>
        <v>12520</v>
      </c>
      <c r="X9" s="30" t="s">
        <v>248</v>
      </c>
      <c r="Y9" s="30" t="s">
        <v>247</v>
      </c>
      <c r="Z9" s="30" t="s">
        <v>250</v>
      </c>
      <c r="AA9" s="30" t="s">
        <v>251</v>
      </c>
      <c r="AB9" s="30" t="s">
        <v>252</v>
      </c>
      <c r="AC9" s="30" t="s">
        <v>747</v>
      </c>
      <c r="AD9" s="9" t="s">
        <v>112</v>
      </c>
      <c r="AE9" s="9" t="s">
        <v>254</v>
      </c>
      <c r="AF9" s="9" t="s">
        <v>199</v>
      </c>
      <c r="AG9" s="9" t="s">
        <v>290</v>
      </c>
      <c r="AH9" s="9" t="s">
        <v>256</v>
      </c>
    </row>
    <row r="10" spans="1:34" ht="157.5" customHeight="1" x14ac:dyDescent="0.25">
      <c r="A10" s="27" t="s">
        <v>257</v>
      </c>
      <c r="B10" s="28" t="s">
        <v>102</v>
      </c>
      <c r="C10" s="29">
        <v>0.33</v>
      </c>
      <c r="D10" s="29">
        <v>0.33</v>
      </c>
      <c r="E10" s="29">
        <v>0.33</v>
      </c>
      <c r="F10" s="29">
        <v>0.33</v>
      </c>
      <c r="G10" s="29">
        <v>0.33</v>
      </c>
      <c r="H10" s="29">
        <v>20</v>
      </c>
      <c r="I10" s="30"/>
      <c r="J10" s="30"/>
      <c r="K10" s="30"/>
      <c r="L10" s="30" t="s">
        <v>291</v>
      </c>
      <c r="M10" s="32" t="s">
        <v>273</v>
      </c>
      <c r="N10" s="29">
        <v>4</v>
      </c>
      <c r="O10" s="30" t="s">
        <v>49</v>
      </c>
      <c r="P10" s="29">
        <f t="shared" si="0"/>
        <v>0.33</v>
      </c>
      <c r="Q10" s="29">
        <f t="shared" si="1"/>
        <v>67</v>
      </c>
      <c r="R10" s="30" t="s">
        <v>292</v>
      </c>
      <c r="S10" s="30" t="s">
        <v>285</v>
      </c>
      <c r="T10" s="30" t="s">
        <v>259</v>
      </c>
      <c r="U10" s="29" t="s">
        <v>247</v>
      </c>
      <c r="V10" s="29" t="s">
        <v>247</v>
      </c>
      <c r="W10" s="29" t="str">
        <f t="shared" si="2"/>
        <v>NR</v>
      </c>
      <c r="X10" s="30" t="s">
        <v>248</v>
      </c>
      <c r="Y10" s="30" t="s">
        <v>247</v>
      </c>
      <c r="Z10" s="30" t="s">
        <v>250</v>
      </c>
      <c r="AA10" s="30" t="s">
        <v>260</v>
      </c>
      <c r="AB10" s="30" t="s">
        <v>252</v>
      </c>
      <c r="AC10" s="30" t="s">
        <v>746</v>
      </c>
      <c r="AD10" s="9" t="s">
        <v>112</v>
      </c>
      <c r="AE10" s="9" t="s">
        <v>293</v>
      </c>
      <c r="AF10" s="9" t="s">
        <v>286</v>
      </c>
      <c r="AG10" s="9" t="s">
        <v>262</v>
      </c>
      <c r="AH10" s="9" t="s">
        <v>112</v>
      </c>
    </row>
    <row r="11" spans="1:34" ht="34.5" customHeight="1" x14ac:dyDescent="0.25">
      <c r="A11" s="27" t="s">
        <v>294</v>
      </c>
      <c r="B11" s="28" t="s">
        <v>102</v>
      </c>
      <c r="C11" s="29">
        <v>0.56999999999999995</v>
      </c>
      <c r="D11" s="29">
        <v>0.56999999999999995</v>
      </c>
      <c r="E11" s="29">
        <v>0.56999999999999995</v>
      </c>
      <c r="F11" s="29">
        <v>0.56999999999999995</v>
      </c>
      <c r="G11" s="29">
        <v>0.56999999999999995</v>
      </c>
      <c r="H11" s="29">
        <v>20</v>
      </c>
      <c r="I11" s="30"/>
      <c r="J11" s="30"/>
      <c r="K11" s="30"/>
      <c r="L11" s="30" t="s">
        <v>295</v>
      </c>
      <c r="M11" s="32" t="s">
        <v>273</v>
      </c>
      <c r="N11" s="29">
        <v>4</v>
      </c>
      <c r="O11" s="30" t="s">
        <v>265</v>
      </c>
      <c r="P11" s="29">
        <f t="shared" si="0"/>
        <v>0.56999999999999995</v>
      </c>
      <c r="Q11" s="29">
        <f t="shared" si="1"/>
        <v>43</v>
      </c>
      <c r="R11" s="30" t="s">
        <v>54</v>
      </c>
      <c r="S11" s="30" t="s">
        <v>54</v>
      </c>
      <c r="T11" s="30" t="s">
        <v>246</v>
      </c>
      <c r="U11" s="29">
        <v>23000</v>
      </c>
      <c r="V11" s="29">
        <v>42000</v>
      </c>
      <c r="W11" s="29">
        <f t="shared" si="2"/>
        <v>32500</v>
      </c>
      <c r="X11" s="30" t="s">
        <v>248</v>
      </c>
      <c r="Y11" s="30" t="s">
        <v>296</v>
      </c>
      <c r="Z11" s="30" t="s">
        <v>250</v>
      </c>
      <c r="AA11" s="30" t="s">
        <v>297</v>
      </c>
      <c r="AB11" s="30" t="s">
        <v>252</v>
      </c>
      <c r="AC11" s="30"/>
      <c r="AD11" s="9" t="s">
        <v>112</v>
      </c>
      <c r="AE11" s="9" t="s">
        <v>261</v>
      </c>
      <c r="AF11" s="9" t="s">
        <v>199</v>
      </c>
      <c r="AG11" s="9" t="s">
        <v>298</v>
      </c>
      <c r="AH11" s="9" t="s">
        <v>256</v>
      </c>
    </row>
    <row r="12" spans="1:34" ht="23.25" customHeight="1" x14ac:dyDescent="0.25">
      <c r="A12" s="33" t="s">
        <v>299</v>
      </c>
      <c r="B12" s="34" t="s">
        <v>107</v>
      </c>
      <c r="C12" s="29">
        <v>0.46800000000000003</v>
      </c>
      <c r="D12" s="29">
        <v>0.46800000000000003</v>
      </c>
      <c r="E12" s="29">
        <v>0.46800000000000003</v>
      </c>
      <c r="F12" s="29">
        <v>0.46800000000000003</v>
      </c>
      <c r="G12" s="29">
        <v>0.46800000000000003</v>
      </c>
      <c r="H12" s="29">
        <v>20</v>
      </c>
      <c r="I12" s="30"/>
      <c r="J12" s="30"/>
      <c r="K12" s="30"/>
      <c r="L12" s="30" t="s">
        <v>300</v>
      </c>
      <c r="M12" s="31" t="s">
        <v>244</v>
      </c>
      <c r="N12" s="29">
        <v>4</v>
      </c>
      <c r="O12" s="30" t="s">
        <v>49</v>
      </c>
      <c r="P12" s="29">
        <f t="shared" si="0"/>
        <v>0.46800000000000003</v>
      </c>
      <c r="Q12" s="29">
        <f t="shared" si="1"/>
        <v>53.2</v>
      </c>
      <c r="R12" s="30" t="s">
        <v>54</v>
      </c>
      <c r="S12" s="30" t="s">
        <v>301</v>
      </c>
      <c r="T12" s="30" t="s">
        <v>265</v>
      </c>
      <c r="U12" s="29" t="s">
        <v>247</v>
      </c>
      <c r="V12" s="29" t="s">
        <v>247</v>
      </c>
      <c r="W12" s="29" t="str">
        <f t="shared" si="2"/>
        <v>NR</v>
      </c>
      <c r="X12" s="30" t="s">
        <v>248</v>
      </c>
      <c r="Y12" s="30" t="s">
        <v>247</v>
      </c>
      <c r="Z12" s="30" t="s">
        <v>250</v>
      </c>
      <c r="AA12" s="30" t="s">
        <v>302</v>
      </c>
      <c r="AB12" s="30" t="s">
        <v>269</v>
      </c>
      <c r="AC12" s="30" t="s">
        <v>303</v>
      </c>
      <c r="AD12" s="9" t="s">
        <v>112</v>
      </c>
      <c r="AE12" s="9" t="s">
        <v>261</v>
      </c>
      <c r="AF12" s="9" t="s">
        <v>304</v>
      </c>
      <c r="AG12" s="9" t="s">
        <v>262</v>
      </c>
      <c r="AH12" s="9" t="s">
        <v>256</v>
      </c>
    </row>
    <row r="13" spans="1:34" ht="45.75" customHeight="1" x14ac:dyDescent="0.25">
      <c r="A13" s="33" t="s">
        <v>305</v>
      </c>
      <c r="B13" s="34" t="s">
        <v>107</v>
      </c>
      <c r="C13" s="29">
        <v>0.51</v>
      </c>
      <c r="D13" s="29">
        <v>0.51</v>
      </c>
      <c r="E13" s="29">
        <v>0.51</v>
      </c>
      <c r="F13" s="29">
        <v>0.51</v>
      </c>
      <c r="G13" s="29">
        <v>0.51</v>
      </c>
      <c r="H13" s="29">
        <v>20</v>
      </c>
      <c r="I13" s="30"/>
      <c r="J13" s="30"/>
      <c r="K13" s="30"/>
      <c r="L13" s="30" t="s">
        <v>306</v>
      </c>
      <c r="M13" s="31" t="s">
        <v>244</v>
      </c>
      <c r="N13" s="29">
        <v>4</v>
      </c>
      <c r="O13" s="30" t="s">
        <v>49</v>
      </c>
      <c r="P13" s="29">
        <f t="shared" si="0"/>
        <v>0.51</v>
      </c>
      <c r="Q13" s="29">
        <f t="shared" si="1"/>
        <v>49</v>
      </c>
      <c r="R13" s="30" t="s">
        <v>54</v>
      </c>
      <c r="S13" s="30" t="s">
        <v>54</v>
      </c>
      <c r="T13" s="30" t="s">
        <v>54</v>
      </c>
      <c r="U13" s="29">
        <v>10</v>
      </c>
      <c r="V13" s="29">
        <v>92462</v>
      </c>
      <c r="W13" s="29">
        <f t="shared" si="2"/>
        <v>46236</v>
      </c>
      <c r="X13" s="30" t="s">
        <v>248</v>
      </c>
      <c r="Y13" s="30" t="s">
        <v>247</v>
      </c>
      <c r="Z13" s="30" t="s">
        <v>250</v>
      </c>
      <c r="AA13" s="30" t="s">
        <v>307</v>
      </c>
      <c r="AB13" s="30" t="s">
        <v>269</v>
      </c>
      <c r="AC13" s="30" t="s">
        <v>308</v>
      </c>
      <c r="AD13" s="9" t="s">
        <v>112</v>
      </c>
      <c r="AE13" s="9" t="s">
        <v>261</v>
      </c>
      <c r="AF13" s="9" t="s">
        <v>199</v>
      </c>
      <c r="AG13" s="9" t="s">
        <v>309</v>
      </c>
      <c r="AH13" s="9" t="s">
        <v>256</v>
      </c>
    </row>
    <row r="14" spans="1:34" ht="23.25" customHeight="1" x14ac:dyDescent="0.25">
      <c r="A14" s="33" t="s">
        <v>310</v>
      </c>
      <c r="B14" s="34" t="s">
        <v>107</v>
      </c>
      <c r="C14" s="29">
        <v>0.37</v>
      </c>
      <c r="D14" s="29">
        <v>0.37</v>
      </c>
      <c r="E14" s="29">
        <v>0.37</v>
      </c>
      <c r="F14" s="29">
        <v>0.37</v>
      </c>
      <c r="G14" s="29">
        <v>0.37</v>
      </c>
      <c r="H14" s="29">
        <v>20</v>
      </c>
      <c r="I14" s="30"/>
      <c r="J14" s="30"/>
      <c r="K14" s="30"/>
      <c r="L14" s="30" t="s">
        <v>311</v>
      </c>
      <c r="M14" s="32" t="s">
        <v>273</v>
      </c>
      <c r="N14" s="29">
        <v>4</v>
      </c>
      <c r="O14" s="30" t="s">
        <v>312</v>
      </c>
      <c r="P14" s="29">
        <f t="shared" si="0"/>
        <v>0.37</v>
      </c>
      <c r="Q14" s="29">
        <f t="shared" si="1"/>
        <v>63</v>
      </c>
      <c r="R14" s="30" t="s">
        <v>54</v>
      </c>
      <c r="S14" s="30" t="s">
        <v>301</v>
      </c>
      <c r="T14" s="30" t="s">
        <v>313</v>
      </c>
      <c r="U14" s="29" t="s">
        <v>247</v>
      </c>
      <c r="V14" s="29" t="s">
        <v>247</v>
      </c>
      <c r="W14" s="29" t="str">
        <f t="shared" si="2"/>
        <v>NR</v>
      </c>
      <c r="X14" s="30" t="s">
        <v>248</v>
      </c>
      <c r="Y14" s="30" t="s">
        <v>247</v>
      </c>
      <c r="Z14" s="30" t="s">
        <v>250</v>
      </c>
      <c r="AA14" s="30" t="s">
        <v>307</v>
      </c>
      <c r="AB14" s="30" t="s">
        <v>314</v>
      </c>
      <c r="AC14" s="30"/>
      <c r="AD14" s="9" t="s">
        <v>112</v>
      </c>
      <c r="AE14" s="9" t="s">
        <v>261</v>
      </c>
      <c r="AF14" s="9" t="s">
        <v>304</v>
      </c>
      <c r="AG14" s="9" t="s">
        <v>745</v>
      </c>
      <c r="AH14" s="9" t="s">
        <v>256</v>
      </c>
    </row>
    <row r="15" spans="1:34" ht="23.25" customHeight="1" x14ac:dyDescent="0.25">
      <c r="A15" s="33" t="s">
        <v>315</v>
      </c>
      <c r="B15" s="34" t="s">
        <v>107</v>
      </c>
      <c r="C15" s="29">
        <v>0.441</v>
      </c>
      <c r="D15" s="29">
        <v>0.441</v>
      </c>
      <c r="E15" s="29">
        <v>0.441</v>
      </c>
      <c r="F15" s="29">
        <v>0.441</v>
      </c>
      <c r="G15" s="29">
        <v>0.441</v>
      </c>
      <c r="H15" s="29">
        <v>20</v>
      </c>
      <c r="I15" s="30"/>
      <c r="J15" s="30"/>
      <c r="K15" s="30"/>
      <c r="L15" s="30" t="s">
        <v>316</v>
      </c>
      <c r="M15" s="32" t="s">
        <v>273</v>
      </c>
      <c r="N15" s="29">
        <v>4</v>
      </c>
      <c r="O15" s="30" t="s">
        <v>49</v>
      </c>
      <c r="P15" s="29">
        <f t="shared" si="0"/>
        <v>0.441</v>
      </c>
      <c r="Q15" s="29">
        <f t="shared" si="1"/>
        <v>55.9</v>
      </c>
      <c r="R15" s="30" t="s">
        <v>54</v>
      </c>
      <c r="S15" s="30" t="s">
        <v>301</v>
      </c>
      <c r="T15" s="30" t="s">
        <v>265</v>
      </c>
      <c r="U15" s="29" t="s">
        <v>247</v>
      </c>
      <c r="V15" s="29" t="s">
        <v>247</v>
      </c>
      <c r="W15" s="29" t="str">
        <f t="shared" si="2"/>
        <v>NR</v>
      </c>
      <c r="X15" s="30" t="s">
        <v>248</v>
      </c>
      <c r="Y15" s="30" t="s">
        <v>247</v>
      </c>
      <c r="Z15" s="30" t="s">
        <v>250</v>
      </c>
      <c r="AA15" s="30" t="s">
        <v>302</v>
      </c>
      <c r="AB15" s="30" t="s">
        <v>269</v>
      </c>
      <c r="AC15" s="30" t="s">
        <v>303</v>
      </c>
      <c r="AD15" s="9" t="s">
        <v>112</v>
      </c>
      <c r="AE15" s="9" t="s">
        <v>261</v>
      </c>
      <c r="AF15" s="9" t="s">
        <v>304</v>
      </c>
      <c r="AG15" s="9" t="s">
        <v>262</v>
      </c>
      <c r="AH15" s="9" t="s">
        <v>256</v>
      </c>
    </row>
    <row r="16" spans="1:34" ht="23.25" customHeight="1" x14ac:dyDescent="0.25">
      <c r="A16" s="33" t="s">
        <v>317</v>
      </c>
      <c r="B16" s="34" t="s">
        <v>107</v>
      </c>
      <c r="C16" s="29">
        <v>0.45600000000000002</v>
      </c>
      <c r="D16" s="29">
        <v>0.45600000000000002</v>
      </c>
      <c r="E16" s="29">
        <v>0.45600000000000002</v>
      </c>
      <c r="F16" s="29">
        <v>0.45600000000000002</v>
      </c>
      <c r="G16" s="29">
        <v>0.45600000000000002</v>
      </c>
      <c r="H16" s="29">
        <v>20</v>
      </c>
      <c r="I16" s="30"/>
      <c r="J16" s="30"/>
      <c r="K16" s="30"/>
      <c r="L16" s="30" t="s">
        <v>318</v>
      </c>
      <c r="M16" s="32" t="s">
        <v>273</v>
      </c>
      <c r="N16" s="29">
        <v>4</v>
      </c>
      <c r="O16" s="30" t="s">
        <v>54</v>
      </c>
      <c r="P16" s="29">
        <f t="shared" si="0"/>
        <v>0.45600000000000002</v>
      </c>
      <c r="Q16" s="29">
        <f t="shared" si="1"/>
        <v>54.4</v>
      </c>
      <c r="R16" s="30" t="s">
        <v>54</v>
      </c>
      <c r="S16" s="30" t="s">
        <v>54</v>
      </c>
      <c r="T16" s="30" t="s">
        <v>265</v>
      </c>
      <c r="U16" s="29">
        <v>2678</v>
      </c>
      <c r="V16" s="29">
        <v>46640</v>
      </c>
      <c r="W16" s="29">
        <f t="shared" si="2"/>
        <v>24659</v>
      </c>
      <c r="X16" s="30" t="s">
        <v>319</v>
      </c>
      <c r="Y16" s="30" t="s">
        <v>247</v>
      </c>
      <c r="Z16" s="30" t="s">
        <v>250</v>
      </c>
      <c r="AA16" s="30" t="s">
        <v>302</v>
      </c>
      <c r="AB16" s="30" t="s">
        <v>269</v>
      </c>
      <c r="AC16" s="30" t="s">
        <v>320</v>
      </c>
      <c r="AD16" s="9" t="s">
        <v>112</v>
      </c>
      <c r="AE16" s="9" t="s">
        <v>261</v>
      </c>
      <c r="AF16" s="9" t="s">
        <v>199</v>
      </c>
      <c r="AG16" s="9" t="s">
        <v>321</v>
      </c>
      <c r="AH16" s="9" t="s">
        <v>256</v>
      </c>
    </row>
    <row r="17" spans="1:34" ht="23.25" customHeight="1" x14ac:dyDescent="0.25">
      <c r="A17" s="33" t="s">
        <v>322</v>
      </c>
      <c r="B17" s="34" t="s">
        <v>107</v>
      </c>
      <c r="C17" s="29">
        <v>0.498</v>
      </c>
      <c r="D17" s="29">
        <v>0.498</v>
      </c>
      <c r="E17" s="29">
        <v>0.498</v>
      </c>
      <c r="F17" s="29">
        <v>0.498</v>
      </c>
      <c r="G17" s="29">
        <v>0.498</v>
      </c>
      <c r="H17" s="29">
        <v>20</v>
      </c>
      <c r="I17" s="30"/>
      <c r="J17" s="30"/>
      <c r="K17" s="30"/>
      <c r="L17" s="30" t="s">
        <v>323</v>
      </c>
      <c r="M17" s="32" t="s">
        <v>273</v>
      </c>
      <c r="N17" s="29">
        <v>4</v>
      </c>
      <c r="O17" s="30" t="s">
        <v>49</v>
      </c>
      <c r="P17" s="29">
        <f t="shared" si="0"/>
        <v>0.498</v>
      </c>
      <c r="Q17" s="29">
        <f t="shared" si="1"/>
        <v>50.2</v>
      </c>
      <c r="R17" s="30" t="s">
        <v>54</v>
      </c>
      <c r="S17" s="30" t="s">
        <v>301</v>
      </c>
      <c r="T17" s="30" t="s">
        <v>265</v>
      </c>
      <c r="U17" s="29" t="s">
        <v>247</v>
      </c>
      <c r="V17" s="29" t="s">
        <v>247</v>
      </c>
      <c r="W17" s="29" t="str">
        <f t="shared" si="2"/>
        <v>NR</v>
      </c>
      <c r="X17" s="30" t="s">
        <v>248</v>
      </c>
      <c r="Y17" s="30" t="s">
        <v>247</v>
      </c>
      <c r="Z17" s="30" t="s">
        <v>250</v>
      </c>
      <c r="AA17" s="30" t="s">
        <v>302</v>
      </c>
      <c r="AB17" s="30" t="s">
        <v>269</v>
      </c>
      <c r="AC17" s="30" t="s">
        <v>303</v>
      </c>
      <c r="AD17" s="9" t="s">
        <v>112</v>
      </c>
      <c r="AE17" s="9" t="s">
        <v>261</v>
      </c>
      <c r="AF17" s="9" t="s">
        <v>304</v>
      </c>
      <c r="AG17" s="9" t="s">
        <v>262</v>
      </c>
      <c r="AH17" s="9" t="s">
        <v>256</v>
      </c>
    </row>
    <row r="18" spans="1:34" ht="23.25" customHeight="1" x14ac:dyDescent="0.25">
      <c r="A18" s="33" t="s">
        <v>324</v>
      </c>
      <c r="B18" s="34" t="s">
        <v>107</v>
      </c>
      <c r="C18" s="29">
        <v>0.56699999999999995</v>
      </c>
      <c r="D18" s="29">
        <v>0.56699999999999995</v>
      </c>
      <c r="E18" s="29">
        <v>0.56699999999999995</v>
      </c>
      <c r="F18" s="29">
        <v>0.56699999999999995</v>
      </c>
      <c r="G18" s="29">
        <v>0.56699999999999995</v>
      </c>
      <c r="H18" s="29">
        <v>20</v>
      </c>
      <c r="I18" s="30"/>
      <c r="J18" s="30"/>
      <c r="K18" s="30"/>
      <c r="L18" s="30" t="s">
        <v>325</v>
      </c>
      <c r="M18" s="32" t="s">
        <v>273</v>
      </c>
      <c r="N18" s="29">
        <v>4</v>
      </c>
      <c r="O18" s="30" t="s">
        <v>49</v>
      </c>
      <c r="P18" s="29">
        <f t="shared" si="0"/>
        <v>0.56699999999999995</v>
      </c>
      <c r="Q18" s="29">
        <f t="shared" si="1"/>
        <v>43.3</v>
      </c>
      <c r="R18" s="30" t="s">
        <v>54</v>
      </c>
      <c r="S18" s="30" t="s">
        <v>301</v>
      </c>
      <c r="T18" s="30" t="s">
        <v>265</v>
      </c>
      <c r="U18" s="29" t="s">
        <v>247</v>
      </c>
      <c r="V18" s="29" t="s">
        <v>247</v>
      </c>
      <c r="W18" s="29" t="str">
        <f t="shared" si="2"/>
        <v>NR</v>
      </c>
      <c r="X18" s="30" t="s">
        <v>248</v>
      </c>
      <c r="Y18" s="30" t="s">
        <v>247</v>
      </c>
      <c r="Z18" s="30" t="s">
        <v>250</v>
      </c>
      <c r="AA18" s="30" t="s">
        <v>302</v>
      </c>
      <c r="AB18" s="30" t="s">
        <v>269</v>
      </c>
      <c r="AC18" s="30" t="s">
        <v>326</v>
      </c>
      <c r="AD18" s="9" t="s">
        <v>112</v>
      </c>
      <c r="AE18" s="9" t="s">
        <v>261</v>
      </c>
      <c r="AF18" s="9" t="s">
        <v>304</v>
      </c>
      <c r="AG18" s="9" t="s">
        <v>262</v>
      </c>
      <c r="AH18" s="9" t="s">
        <v>256</v>
      </c>
    </row>
    <row r="19" spans="1:34" ht="45.75" customHeight="1" x14ac:dyDescent="0.25">
      <c r="A19" s="33" t="s">
        <v>305</v>
      </c>
      <c r="B19" s="34" t="s">
        <v>107</v>
      </c>
      <c r="C19" s="29">
        <v>0.57099999999999995</v>
      </c>
      <c r="D19" s="29">
        <v>0.57099999999999995</v>
      </c>
      <c r="E19" s="29">
        <v>0.57099999999999995</v>
      </c>
      <c r="F19" s="29">
        <v>0.57099999999999995</v>
      </c>
      <c r="G19" s="29">
        <v>0.57099999999999995</v>
      </c>
      <c r="H19" s="29">
        <v>20</v>
      </c>
      <c r="I19" s="30"/>
      <c r="J19" s="30"/>
      <c r="K19" s="30"/>
      <c r="L19" s="30" t="s">
        <v>327</v>
      </c>
      <c r="M19" s="32" t="s">
        <v>273</v>
      </c>
      <c r="N19" s="29">
        <v>4</v>
      </c>
      <c r="O19" s="30" t="s">
        <v>54</v>
      </c>
      <c r="P19" s="29">
        <f t="shared" si="0"/>
        <v>0.57099999999999995</v>
      </c>
      <c r="Q19" s="29">
        <f t="shared" si="1"/>
        <v>42.9</v>
      </c>
      <c r="R19" s="30" t="s">
        <v>274</v>
      </c>
      <c r="S19" s="30" t="s">
        <v>54</v>
      </c>
      <c r="T19" s="30" t="s">
        <v>265</v>
      </c>
      <c r="U19" s="29">
        <v>2678</v>
      </c>
      <c r="V19" s="29">
        <v>46640</v>
      </c>
      <c r="W19" s="29">
        <f t="shared" si="2"/>
        <v>24659</v>
      </c>
      <c r="X19" s="30" t="s">
        <v>319</v>
      </c>
      <c r="Y19" s="30" t="s">
        <v>247</v>
      </c>
      <c r="Z19" s="30" t="s">
        <v>250</v>
      </c>
      <c r="AA19" s="30" t="s">
        <v>302</v>
      </c>
      <c r="AB19" s="30" t="s">
        <v>269</v>
      </c>
      <c r="AC19" s="30" t="s">
        <v>328</v>
      </c>
      <c r="AD19" s="9" t="s">
        <v>112</v>
      </c>
      <c r="AE19" s="9" t="s">
        <v>254</v>
      </c>
      <c r="AF19" s="9" t="s">
        <v>199</v>
      </c>
      <c r="AG19" s="9" t="s">
        <v>321</v>
      </c>
      <c r="AH19" s="9" t="s">
        <v>256</v>
      </c>
    </row>
    <row r="20" spans="1:34" ht="57" customHeight="1" x14ac:dyDescent="0.25">
      <c r="A20" s="33" t="s">
        <v>329</v>
      </c>
      <c r="B20" s="34" t="s">
        <v>109</v>
      </c>
      <c r="C20" s="29">
        <v>0.6</v>
      </c>
      <c r="D20" s="29">
        <v>0.6</v>
      </c>
      <c r="E20" s="29">
        <v>0.6</v>
      </c>
      <c r="F20" s="29">
        <v>0.6</v>
      </c>
      <c r="G20" s="29">
        <v>0.6</v>
      </c>
      <c r="H20" s="29">
        <v>20</v>
      </c>
      <c r="I20" s="30"/>
      <c r="J20" s="30"/>
      <c r="K20" s="30"/>
      <c r="L20" s="30" t="s">
        <v>330</v>
      </c>
      <c r="M20" s="31" t="s">
        <v>244</v>
      </c>
      <c r="N20" s="29">
        <v>2</v>
      </c>
      <c r="O20" s="30" t="s">
        <v>49</v>
      </c>
      <c r="P20" s="29">
        <f t="shared" si="0"/>
        <v>0.6</v>
      </c>
      <c r="Q20" s="29">
        <f t="shared" si="1"/>
        <v>40</v>
      </c>
      <c r="R20" s="30" t="s">
        <v>54</v>
      </c>
      <c r="S20" s="30" t="s">
        <v>331</v>
      </c>
      <c r="T20" s="30" t="s">
        <v>313</v>
      </c>
      <c r="U20" s="29" t="s">
        <v>247</v>
      </c>
      <c r="V20" s="29" t="s">
        <v>247</v>
      </c>
      <c r="W20" s="29" t="str">
        <f t="shared" si="2"/>
        <v>NR</v>
      </c>
      <c r="X20" s="30" t="s">
        <v>319</v>
      </c>
      <c r="Y20" s="30" t="s">
        <v>247</v>
      </c>
      <c r="Z20" s="30" t="s">
        <v>250</v>
      </c>
      <c r="AA20" s="30" t="s">
        <v>332</v>
      </c>
      <c r="AB20" s="30" t="s">
        <v>333</v>
      </c>
      <c r="AC20" s="30" t="s">
        <v>748</v>
      </c>
      <c r="AD20" s="9" t="s">
        <v>112</v>
      </c>
      <c r="AE20" s="9" t="s">
        <v>261</v>
      </c>
      <c r="AF20" s="9" t="s">
        <v>334</v>
      </c>
      <c r="AG20" s="9" t="s">
        <v>262</v>
      </c>
      <c r="AH20" s="9" t="s">
        <v>256</v>
      </c>
    </row>
    <row r="21" spans="1:34" ht="34.5" customHeight="1" x14ac:dyDescent="0.25">
      <c r="A21" s="33" t="s">
        <v>335</v>
      </c>
      <c r="B21" s="34" t="s">
        <v>109</v>
      </c>
      <c r="C21" s="29">
        <v>0.57999999999999996</v>
      </c>
      <c r="D21" s="29">
        <v>0.57999999999999996</v>
      </c>
      <c r="E21" s="29">
        <v>0.57999999999999996</v>
      </c>
      <c r="F21" s="29">
        <v>0.57999999999999996</v>
      </c>
      <c r="G21" s="29">
        <v>0.57999999999999996</v>
      </c>
      <c r="H21" s="29">
        <v>20</v>
      </c>
      <c r="I21" s="30"/>
      <c r="J21" s="30"/>
      <c r="K21" s="30"/>
      <c r="L21" s="30" t="s">
        <v>336</v>
      </c>
      <c r="M21" s="31" t="s">
        <v>244</v>
      </c>
      <c r="N21" s="29">
        <v>3</v>
      </c>
      <c r="O21" s="30" t="s">
        <v>313</v>
      </c>
      <c r="P21" s="29">
        <f t="shared" si="0"/>
        <v>0.57999999999999996</v>
      </c>
      <c r="Q21" s="29">
        <f t="shared" si="1"/>
        <v>42</v>
      </c>
      <c r="R21" s="30" t="s">
        <v>337</v>
      </c>
      <c r="S21" s="30" t="s">
        <v>338</v>
      </c>
      <c r="T21" s="30" t="s">
        <v>313</v>
      </c>
      <c r="U21" s="29" t="s">
        <v>247</v>
      </c>
      <c r="V21" s="29" t="s">
        <v>247</v>
      </c>
      <c r="W21" s="29" t="str">
        <f t="shared" si="2"/>
        <v>NR</v>
      </c>
      <c r="X21" s="30" t="s">
        <v>319</v>
      </c>
      <c r="Y21" s="30" t="s">
        <v>247</v>
      </c>
      <c r="Z21" s="30" t="s">
        <v>339</v>
      </c>
      <c r="AA21" s="30" t="s">
        <v>281</v>
      </c>
      <c r="AB21" s="30" t="s">
        <v>340</v>
      </c>
      <c r="AC21" s="30" t="s">
        <v>341</v>
      </c>
      <c r="AD21" s="9" t="s">
        <v>112</v>
      </c>
      <c r="AE21" s="9" t="s">
        <v>254</v>
      </c>
      <c r="AF21" s="9" t="s">
        <v>342</v>
      </c>
      <c r="AG21" s="9" t="s">
        <v>262</v>
      </c>
      <c r="AH21" s="9" t="s">
        <v>256</v>
      </c>
    </row>
    <row r="22" spans="1:34" ht="34.5" customHeight="1" x14ac:dyDescent="0.25">
      <c r="A22" s="33" t="s">
        <v>343</v>
      </c>
      <c r="B22" s="34" t="s">
        <v>109</v>
      </c>
      <c r="C22" s="29">
        <v>0.63</v>
      </c>
      <c r="D22" s="29">
        <v>0.63</v>
      </c>
      <c r="E22" s="29">
        <v>0.63</v>
      </c>
      <c r="F22" s="29">
        <v>0.63</v>
      </c>
      <c r="G22" s="29">
        <v>0.63</v>
      </c>
      <c r="H22" s="29">
        <v>20</v>
      </c>
      <c r="I22" s="30"/>
      <c r="J22" s="30"/>
      <c r="K22" s="30"/>
      <c r="L22" s="30" t="s">
        <v>344</v>
      </c>
      <c r="M22" s="32" t="s">
        <v>273</v>
      </c>
      <c r="N22" s="29">
        <v>4</v>
      </c>
      <c r="O22" s="30" t="s">
        <v>49</v>
      </c>
      <c r="P22" s="29">
        <f t="shared" si="0"/>
        <v>0.63</v>
      </c>
      <c r="Q22" s="29">
        <f t="shared" si="1"/>
        <v>37</v>
      </c>
      <c r="R22" s="30" t="s">
        <v>54</v>
      </c>
      <c r="S22" s="30" t="s">
        <v>331</v>
      </c>
      <c r="T22" s="30" t="s">
        <v>313</v>
      </c>
      <c r="U22" s="29">
        <v>567</v>
      </c>
      <c r="V22" s="29">
        <v>43199</v>
      </c>
      <c r="W22" s="29">
        <f t="shared" si="2"/>
        <v>21883</v>
      </c>
      <c r="X22" s="30" t="s">
        <v>248</v>
      </c>
      <c r="Y22" s="30" t="s">
        <v>247</v>
      </c>
      <c r="Z22" s="30" t="s">
        <v>250</v>
      </c>
      <c r="AA22" s="30" t="s">
        <v>345</v>
      </c>
      <c r="AB22" s="30" t="s">
        <v>252</v>
      </c>
      <c r="AC22" s="30"/>
      <c r="AD22" s="9" t="s">
        <v>112</v>
      </c>
      <c r="AE22" s="9" t="s">
        <v>261</v>
      </c>
      <c r="AF22" s="9" t="s">
        <v>334</v>
      </c>
      <c r="AG22" s="9" t="s">
        <v>346</v>
      </c>
      <c r="AH22" s="9" t="s">
        <v>256</v>
      </c>
    </row>
    <row r="23" spans="1:34" ht="45.75" customHeight="1" x14ac:dyDescent="0.25">
      <c r="A23" s="33" t="s">
        <v>347</v>
      </c>
      <c r="B23" s="34" t="s">
        <v>115</v>
      </c>
      <c r="C23" s="29">
        <v>0.87</v>
      </c>
      <c r="D23" s="29">
        <v>0.87</v>
      </c>
      <c r="E23" s="29">
        <v>0.87</v>
      </c>
      <c r="F23" s="29">
        <v>0.87</v>
      </c>
      <c r="G23" s="29">
        <v>0.87</v>
      </c>
      <c r="H23" s="29">
        <v>20</v>
      </c>
      <c r="I23" s="30"/>
      <c r="J23" s="30"/>
      <c r="K23" s="30"/>
      <c r="L23" s="30" t="s">
        <v>348</v>
      </c>
      <c r="M23" s="31" t="s">
        <v>244</v>
      </c>
      <c r="N23" s="29">
        <v>5</v>
      </c>
      <c r="O23" s="30" t="s">
        <v>312</v>
      </c>
      <c r="P23" s="29">
        <f t="shared" si="0"/>
        <v>0.87</v>
      </c>
      <c r="Q23" s="29">
        <f t="shared" si="1"/>
        <v>13</v>
      </c>
      <c r="R23" s="30" t="s">
        <v>54</v>
      </c>
      <c r="S23" s="30" t="s">
        <v>331</v>
      </c>
      <c r="T23" s="30" t="s">
        <v>54</v>
      </c>
      <c r="U23" s="29" t="s">
        <v>247</v>
      </c>
      <c r="V23" s="29" t="s">
        <v>247</v>
      </c>
      <c r="W23" s="29" t="str">
        <f t="shared" si="2"/>
        <v>NR</v>
      </c>
      <c r="X23" s="30" t="s">
        <v>319</v>
      </c>
      <c r="Y23" s="30" t="s">
        <v>247</v>
      </c>
      <c r="Z23" s="30" t="s">
        <v>250</v>
      </c>
      <c r="AA23" s="30" t="s">
        <v>251</v>
      </c>
      <c r="AB23" s="30" t="s">
        <v>252</v>
      </c>
      <c r="AC23" s="30" t="s">
        <v>349</v>
      </c>
      <c r="AD23" s="9" t="s">
        <v>112</v>
      </c>
      <c r="AE23" s="9" t="s">
        <v>261</v>
      </c>
      <c r="AF23" s="9" t="s">
        <v>334</v>
      </c>
      <c r="AG23" s="9" t="s">
        <v>262</v>
      </c>
      <c r="AH23" s="9" t="s">
        <v>256</v>
      </c>
    </row>
    <row r="24" spans="1:34" ht="45.75" customHeight="1" x14ac:dyDescent="0.25">
      <c r="A24" s="33" t="s">
        <v>347</v>
      </c>
      <c r="B24" s="34" t="s">
        <v>115</v>
      </c>
      <c r="C24" s="29">
        <v>0.81</v>
      </c>
      <c r="D24" s="29">
        <v>0.81</v>
      </c>
      <c r="E24" s="29">
        <v>0.81</v>
      </c>
      <c r="F24" s="29">
        <v>0.81</v>
      </c>
      <c r="G24" s="29">
        <v>0.81</v>
      </c>
      <c r="H24" s="29">
        <v>20</v>
      </c>
      <c r="I24" s="30"/>
      <c r="J24" s="30"/>
      <c r="K24" s="30"/>
      <c r="L24" s="30" t="s">
        <v>350</v>
      </c>
      <c r="M24" s="32" t="s">
        <v>273</v>
      </c>
      <c r="N24" s="29">
        <v>5</v>
      </c>
      <c r="O24" s="30" t="s">
        <v>312</v>
      </c>
      <c r="P24" s="29">
        <f t="shared" si="0"/>
        <v>0.81</v>
      </c>
      <c r="Q24" s="29">
        <f t="shared" si="1"/>
        <v>19</v>
      </c>
      <c r="R24" s="30" t="s">
        <v>54</v>
      </c>
      <c r="S24" s="30" t="s">
        <v>331</v>
      </c>
      <c r="T24" s="30" t="s">
        <v>54</v>
      </c>
      <c r="U24" s="29">
        <v>6650</v>
      </c>
      <c r="V24" s="29">
        <v>32363</v>
      </c>
      <c r="W24" s="29">
        <f t="shared" si="2"/>
        <v>19507</v>
      </c>
      <c r="X24" s="30" t="s">
        <v>319</v>
      </c>
      <c r="Y24" s="30" t="s">
        <v>247</v>
      </c>
      <c r="Z24" s="30" t="s">
        <v>250</v>
      </c>
      <c r="AA24" s="30" t="s">
        <v>251</v>
      </c>
      <c r="AB24" s="30" t="s">
        <v>252</v>
      </c>
      <c r="AC24" s="30" t="s">
        <v>349</v>
      </c>
      <c r="AD24" s="9" t="s">
        <v>112</v>
      </c>
      <c r="AE24" s="9" t="s">
        <v>261</v>
      </c>
      <c r="AF24" s="9" t="s">
        <v>334</v>
      </c>
      <c r="AG24" s="9" t="s">
        <v>351</v>
      </c>
      <c r="AH24" s="9" t="s">
        <v>256</v>
      </c>
    </row>
    <row r="25" spans="1:34" ht="23.25" customHeight="1" x14ac:dyDescent="0.25">
      <c r="A25" s="33" t="s">
        <v>352</v>
      </c>
      <c r="B25" s="34" t="s">
        <v>118</v>
      </c>
      <c r="C25" s="29">
        <v>0.54</v>
      </c>
      <c r="D25" s="29">
        <v>0.54</v>
      </c>
      <c r="E25" s="29">
        <v>0.54</v>
      </c>
      <c r="F25" s="29">
        <v>0.54</v>
      </c>
      <c r="G25" s="29">
        <v>0.54</v>
      </c>
      <c r="H25" s="29">
        <v>20</v>
      </c>
      <c r="I25" s="30"/>
      <c r="J25" s="30"/>
      <c r="K25" s="30"/>
      <c r="L25" s="30" t="s">
        <v>353</v>
      </c>
      <c r="M25" s="31" t="s">
        <v>244</v>
      </c>
      <c r="N25" s="29">
        <v>3</v>
      </c>
      <c r="O25" s="30" t="s">
        <v>354</v>
      </c>
      <c r="P25" s="29">
        <f t="shared" si="0"/>
        <v>0.54</v>
      </c>
      <c r="Q25" s="29">
        <f t="shared" si="1"/>
        <v>46</v>
      </c>
      <c r="R25" s="30" t="s">
        <v>54</v>
      </c>
      <c r="S25" s="30" t="s">
        <v>331</v>
      </c>
      <c r="T25" s="30" t="s">
        <v>259</v>
      </c>
      <c r="U25" s="29">
        <v>15000</v>
      </c>
      <c r="V25" s="29" t="s">
        <v>247</v>
      </c>
      <c r="W25" s="29">
        <f t="shared" si="2"/>
        <v>15000</v>
      </c>
      <c r="X25" s="30" t="s">
        <v>248</v>
      </c>
      <c r="Y25" s="30" t="s">
        <v>247</v>
      </c>
      <c r="Z25" s="30" t="s">
        <v>250</v>
      </c>
      <c r="AA25" s="30" t="s">
        <v>355</v>
      </c>
      <c r="AB25" s="30" t="s">
        <v>314</v>
      </c>
      <c r="AC25" s="30" t="s">
        <v>356</v>
      </c>
      <c r="AD25" s="9" t="s">
        <v>112</v>
      </c>
      <c r="AE25" s="9" t="s">
        <v>261</v>
      </c>
      <c r="AF25" s="9" t="s">
        <v>334</v>
      </c>
      <c r="AG25" s="9"/>
      <c r="AH25" s="9" t="s">
        <v>256</v>
      </c>
    </row>
    <row r="26" spans="1:34" ht="34.5" customHeight="1" x14ac:dyDescent="0.25">
      <c r="A26" s="33" t="s">
        <v>357</v>
      </c>
      <c r="B26" s="34" t="s">
        <v>118</v>
      </c>
      <c r="C26" s="29">
        <v>0.68500000000000005</v>
      </c>
      <c r="D26" s="29">
        <v>0.68500000000000005</v>
      </c>
      <c r="E26" s="29">
        <v>0.68500000000000005</v>
      </c>
      <c r="F26" s="29">
        <v>0.68500000000000005</v>
      </c>
      <c r="G26" s="29">
        <v>0.68500000000000005</v>
      </c>
      <c r="H26" s="29">
        <v>20</v>
      </c>
      <c r="I26" s="30"/>
      <c r="J26" s="30"/>
      <c r="K26" s="30"/>
      <c r="L26" s="30" t="s">
        <v>358</v>
      </c>
      <c r="M26" s="32" t="s">
        <v>273</v>
      </c>
      <c r="N26" s="29">
        <v>4</v>
      </c>
      <c r="O26" s="30" t="s">
        <v>312</v>
      </c>
      <c r="P26" s="29">
        <f t="shared" si="0"/>
        <v>0.68500000000000005</v>
      </c>
      <c r="Q26" s="29">
        <f t="shared" si="1"/>
        <v>31.5</v>
      </c>
      <c r="R26" s="30" t="s">
        <v>54</v>
      </c>
      <c r="S26" s="30" t="s">
        <v>331</v>
      </c>
      <c r="T26" s="30" t="s">
        <v>359</v>
      </c>
      <c r="U26" s="29">
        <v>1245</v>
      </c>
      <c r="V26" s="29">
        <v>46000</v>
      </c>
      <c r="W26" s="29">
        <f t="shared" si="2"/>
        <v>23623</v>
      </c>
      <c r="X26" s="30" t="s">
        <v>248</v>
      </c>
      <c r="Y26" s="30" t="s">
        <v>247</v>
      </c>
      <c r="Z26" s="30" t="s">
        <v>250</v>
      </c>
      <c r="AA26" s="30" t="s">
        <v>307</v>
      </c>
      <c r="AB26" s="30" t="s">
        <v>340</v>
      </c>
      <c r="AC26" s="30" t="s">
        <v>749</v>
      </c>
      <c r="AD26" s="9" t="s">
        <v>112</v>
      </c>
      <c r="AE26" s="9" t="s">
        <v>261</v>
      </c>
      <c r="AF26" s="9" t="s">
        <v>334</v>
      </c>
      <c r="AG26" s="9" t="s">
        <v>361</v>
      </c>
      <c r="AH26" s="9" t="s">
        <v>256</v>
      </c>
    </row>
    <row r="27" spans="1:34" ht="23.25" customHeight="1" x14ac:dyDescent="0.25">
      <c r="A27" s="33" t="s">
        <v>362</v>
      </c>
      <c r="B27" s="34" t="s">
        <v>118</v>
      </c>
      <c r="C27" s="29">
        <v>0.28999999999999998</v>
      </c>
      <c r="D27" s="29">
        <v>0.28999999999999998</v>
      </c>
      <c r="E27" s="29">
        <v>0.28999999999999998</v>
      </c>
      <c r="F27" s="29">
        <v>0.28999999999999998</v>
      </c>
      <c r="G27" s="29">
        <v>0.28999999999999998</v>
      </c>
      <c r="H27" s="29">
        <v>20</v>
      </c>
      <c r="I27" s="30"/>
      <c r="J27" s="30"/>
      <c r="K27" s="30"/>
      <c r="L27" s="30" t="s">
        <v>363</v>
      </c>
      <c r="M27" s="32" t="s">
        <v>273</v>
      </c>
      <c r="N27" s="29">
        <v>4</v>
      </c>
      <c r="O27" s="30" t="s">
        <v>49</v>
      </c>
      <c r="P27" s="29">
        <f t="shared" si="0"/>
        <v>0.28999999999999998</v>
      </c>
      <c r="Q27" s="29">
        <f t="shared" si="1"/>
        <v>71</v>
      </c>
      <c r="R27" s="30" t="s">
        <v>54</v>
      </c>
      <c r="S27" s="30" t="s">
        <v>54</v>
      </c>
      <c r="T27" s="30" t="s">
        <v>259</v>
      </c>
      <c r="U27" s="29">
        <v>1390</v>
      </c>
      <c r="V27" s="29">
        <v>51200</v>
      </c>
      <c r="W27" s="29">
        <f t="shared" si="2"/>
        <v>26295</v>
      </c>
      <c r="X27" s="30" t="s">
        <v>248</v>
      </c>
      <c r="Y27" s="30" t="s">
        <v>247</v>
      </c>
      <c r="Z27" s="30" t="s">
        <v>250</v>
      </c>
      <c r="AA27" s="30" t="s">
        <v>307</v>
      </c>
      <c r="AB27" s="30" t="s">
        <v>269</v>
      </c>
      <c r="AC27" s="30"/>
      <c r="AD27" s="9" t="s">
        <v>112</v>
      </c>
      <c r="AE27" s="9" t="s">
        <v>261</v>
      </c>
      <c r="AF27" s="9" t="s">
        <v>199</v>
      </c>
      <c r="AG27" s="9" t="s">
        <v>364</v>
      </c>
      <c r="AH27" s="9" t="s">
        <v>256</v>
      </c>
    </row>
    <row r="28" spans="1:34" ht="34.5" customHeight="1" x14ac:dyDescent="0.25">
      <c r="A28" s="33" t="s">
        <v>365</v>
      </c>
      <c r="B28" s="34" t="s">
        <v>124</v>
      </c>
      <c r="C28" s="29">
        <v>0.45300000000000001</v>
      </c>
      <c r="D28" s="29">
        <v>0.45300000000000001</v>
      </c>
      <c r="E28" s="29">
        <v>0.45300000000000001</v>
      </c>
      <c r="F28" s="29">
        <v>0.45300000000000001</v>
      </c>
      <c r="G28" s="29">
        <v>0.45300000000000001</v>
      </c>
      <c r="H28" s="29">
        <v>20</v>
      </c>
      <c r="I28" s="30"/>
      <c r="J28" s="30"/>
      <c r="K28" s="30"/>
      <c r="L28" s="30" t="s">
        <v>366</v>
      </c>
      <c r="M28" s="31" t="s">
        <v>244</v>
      </c>
      <c r="N28" s="29">
        <v>3</v>
      </c>
      <c r="O28" s="30" t="s">
        <v>312</v>
      </c>
      <c r="P28" s="29">
        <f t="shared" si="0"/>
        <v>0.45300000000000001</v>
      </c>
      <c r="Q28" s="29">
        <f t="shared" si="1"/>
        <v>54.7</v>
      </c>
      <c r="R28" s="30" t="s">
        <v>54</v>
      </c>
      <c r="S28" s="30" t="s">
        <v>331</v>
      </c>
      <c r="T28" s="30" t="s">
        <v>359</v>
      </c>
      <c r="U28" s="29">
        <v>6634</v>
      </c>
      <c r="V28" s="29">
        <v>48791</v>
      </c>
      <c r="W28" s="29">
        <f t="shared" si="2"/>
        <v>27713</v>
      </c>
      <c r="X28" s="30" t="s">
        <v>248</v>
      </c>
      <c r="Y28" s="30" t="s">
        <v>247</v>
      </c>
      <c r="Z28" s="30" t="s">
        <v>250</v>
      </c>
      <c r="AA28" s="30" t="s">
        <v>367</v>
      </c>
      <c r="AB28" s="30" t="s">
        <v>269</v>
      </c>
      <c r="AC28" s="30" t="s">
        <v>750</v>
      </c>
      <c r="AD28" s="9" t="s">
        <v>112</v>
      </c>
      <c r="AE28" s="9" t="s">
        <v>261</v>
      </c>
      <c r="AF28" s="9" t="s">
        <v>334</v>
      </c>
      <c r="AG28" s="9" t="s">
        <v>368</v>
      </c>
      <c r="AH28" s="9" t="s">
        <v>256</v>
      </c>
    </row>
    <row r="29" spans="1:34" ht="34.5" customHeight="1" x14ac:dyDescent="0.25">
      <c r="A29" s="33" t="s">
        <v>369</v>
      </c>
      <c r="B29" s="34" t="s">
        <v>124</v>
      </c>
      <c r="C29" s="29">
        <v>0.432</v>
      </c>
      <c r="D29" s="29">
        <v>0.432</v>
      </c>
      <c r="E29" s="29">
        <v>0.432</v>
      </c>
      <c r="F29" s="29">
        <v>0.432</v>
      </c>
      <c r="G29" s="29">
        <v>0.432</v>
      </c>
      <c r="H29" s="29">
        <v>20</v>
      </c>
      <c r="I29" s="30"/>
      <c r="J29" s="30"/>
      <c r="K29" s="30"/>
      <c r="L29" s="30" t="s">
        <v>370</v>
      </c>
      <c r="M29" s="32" t="s">
        <v>273</v>
      </c>
      <c r="N29" s="29">
        <v>4</v>
      </c>
      <c r="O29" s="30" t="s">
        <v>312</v>
      </c>
      <c r="P29" s="29">
        <f t="shared" si="0"/>
        <v>0.432</v>
      </c>
      <c r="Q29" s="29">
        <f t="shared" si="1"/>
        <v>56.8</v>
      </c>
      <c r="R29" s="30" t="s">
        <v>54</v>
      </c>
      <c r="S29" s="30" t="s">
        <v>331</v>
      </c>
      <c r="T29" s="30" t="s">
        <v>359</v>
      </c>
      <c r="U29" s="29">
        <v>6634</v>
      </c>
      <c r="V29" s="29">
        <v>48791</v>
      </c>
      <c r="W29" s="29">
        <f t="shared" si="2"/>
        <v>27713</v>
      </c>
      <c r="X29" s="30" t="s">
        <v>248</v>
      </c>
      <c r="Y29" s="30" t="s">
        <v>247</v>
      </c>
      <c r="Z29" s="30" t="s">
        <v>250</v>
      </c>
      <c r="AA29" s="30" t="s">
        <v>367</v>
      </c>
      <c r="AB29" s="30" t="s">
        <v>340</v>
      </c>
      <c r="AC29" s="30" t="s">
        <v>360</v>
      </c>
      <c r="AD29" s="9" t="s">
        <v>112</v>
      </c>
      <c r="AE29" s="9" t="s">
        <v>261</v>
      </c>
      <c r="AF29" s="9" t="s">
        <v>334</v>
      </c>
      <c r="AG29" s="9" t="s">
        <v>368</v>
      </c>
      <c r="AH29" s="9" t="s">
        <v>256</v>
      </c>
    </row>
    <row r="30" spans="1:34" ht="34.5" customHeight="1" x14ac:dyDescent="0.25">
      <c r="A30" s="33" t="s">
        <v>371</v>
      </c>
      <c r="B30" s="34" t="s">
        <v>124</v>
      </c>
      <c r="C30" s="29">
        <v>0.54300000000000004</v>
      </c>
      <c r="D30" s="29">
        <v>0.54300000000000004</v>
      </c>
      <c r="E30" s="29">
        <v>0.54300000000000004</v>
      </c>
      <c r="F30" s="29">
        <v>0.54300000000000004</v>
      </c>
      <c r="G30" s="29">
        <v>0.54300000000000004</v>
      </c>
      <c r="H30" s="29">
        <v>20</v>
      </c>
      <c r="I30" s="30"/>
      <c r="J30" s="30"/>
      <c r="K30" s="30"/>
      <c r="L30" s="30" t="s">
        <v>372</v>
      </c>
      <c r="M30" s="32" t="s">
        <v>273</v>
      </c>
      <c r="N30" s="29">
        <v>5</v>
      </c>
      <c r="O30" s="30" t="s">
        <v>312</v>
      </c>
      <c r="P30" s="29">
        <f t="shared" si="0"/>
        <v>0.54300000000000004</v>
      </c>
      <c r="Q30" s="29">
        <f t="shared" si="1"/>
        <v>45.7</v>
      </c>
      <c r="R30" s="30" t="s">
        <v>54</v>
      </c>
      <c r="S30" s="30" t="s">
        <v>331</v>
      </c>
      <c r="T30" s="30" t="s">
        <v>54</v>
      </c>
      <c r="U30" s="29">
        <v>5400</v>
      </c>
      <c r="V30" s="29">
        <v>47627</v>
      </c>
      <c r="W30" s="29">
        <f t="shared" si="2"/>
        <v>26514</v>
      </c>
      <c r="X30" s="30" t="s">
        <v>319</v>
      </c>
      <c r="Y30" s="30" t="s">
        <v>247</v>
      </c>
      <c r="Z30" s="30" t="s">
        <v>250</v>
      </c>
      <c r="AA30" s="30" t="s">
        <v>275</v>
      </c>
      <c r="AB30" s="30" t="s">
        <v>252</v>
      </c>
      <c r="AC30" s="30" t="s">
        <v>373</v>
      </c>
      <c r="AD30" s="9" t="s">
        <v>112</v>
      </c>
      <c r="AE30" s="9" t="s">
        <v>261</v>
      </c>
      <c r="AF30" s="9" t="s">
        <v>334</v>
      </c>
      <c r="AG30" s="9" t="s">
        <v>374</v>
      </c>
      <c r="AH30" s="9" t="s">
        <v>256</v>
      </c>
    </row>
    <row r="31" spans="1:34" ht="23.25" customHeight="1" x14ac:dyDescent="0.25">
      <c r="A31" s="33" t="s">
        <v>375</v>
      </c>
      <c r="B31" s="34" t="s">
        <v>128</v>
      </c>
      <c r="C31" s="29">
        <v>0.52600000000000002</v>
      </c>
      <c r="D31" s="29">
        <v>0.52600000000000002</v>
      </c>
      <c r="E31" s="29">
        <v>0.52600000000000002</v>
      </c>
      <c r="F31" s="29">
        <v>0.52600000000000002</v>
      </c>
      <c r="G31" s="29">
        <v>0.52600000000000002</v>
      </c>
      <c r="H31" s="29">
        <v>20</v>
      </c>
      <c r="I31" s="30"/>
      <c r="J31" s="30"/>
      <c r="K31" s="30"/>
      <c r="L31" s="30" t="s">
        <v>376</v>
      </c>
      <c r="M31" s="31" t="s">
        <v>244</v>
      </c>
      <c r="N31" s="29">
        <v>3</v>
      </c>
      <c r="O31" s="30" t="s">
        <v>312</v>
      </c>
      <c r="P31" s="29">
        <f t="shared" si="0"/>
        <v>0.52600000000000002</v>
      </c>
      <c r="Q31" s="29">
        <f t="shared" si="1"/>
        <v>47.4</v>
      </c>
      <c r="R31" s="30" t="s">
        <v>54</v>
      </c>
      <c r="S31" s="30" t="s">
        <v>331</v>
      </c>
      <c r="T31" s="30" t="s">
        <v>359</v>
      </c>
      <c r="U31" s="29">
        <v>533</v>
      </c>
      <c r="V31" s="29">
        <v>49402</v>
      </c>
      <c r="W31" s="29">
        <f t="shared" si="2"/>
        <v>24968</v>
      </c>
      <c r="X31" s="30" t="s">
        <v>248</v>
      </c>
      <c r="Y31" s="30" t="s">
        <v>247</v>
      </c>
      <c r="Z31" s="30" t="s">
        <v>250</v>
      </c>
      <c r="AA31" s="30" t="s">
        <v>355</v>
      </c>
      <c r="AB31" s="30" t="s">
        <v>269</v>
      </c>
      <c r="AC31" s="30"/>
      <c r="AD31" s="9" t="s">
        <v>112</v>
      </c>
      <c r="AE31" s="9" t="s">
        <v>261</v>
      </c>
      <c r="AF31" s="9" t="s">
        <v>334</v>
      </c>
      <c r="AG31" s="9" t="s">
        <v>377</v>
      </c>
      <c r="AH31" s="9" t="s">
        <v>256</v>
      </c>
    </row>
    <row r="32" spans="1:34" ht="34.5" customHeight="1" x14ac:dyDescent="0.25">
      <c r="A32" s="33" t="s">
        <v>378</v>
      </c>
      <c r="B32" s="34" t="s">
        <v>128</v>
      </c>
      <c r="C32" s="29">
        <v>0.27</v>
      </c>
      <c r="D32" s="29">
        <v>0.27</v>
      </c>
      <c r="E32" s="29">
        <v>0.27</v>
      </c>
      <c r="F32" s="29">
        <v>0.27</v>
      </c>
      <c r="G32" s="29">
        <v>0.27</v>
      </c>
      <c r="H32" s="29">
        <v>20</v>
      </c>
      <c r="I32" s="30"/>
      <c r="J32" s="30"/>
      <c r="K32" s="30"/>
      <c r="L32" s="30" t="s">
        <v>379</v>
      </c>
      <c r="M32" s="32" t="s">
        <v>273</v>
      </c>
      <c r="N32" s="29">
        <v>4</v>
      </c>
      <c r="O32" s="30" t="s">
        <v>54</v>
      </c>
      <c r="P32" s="29">
        <f t="shared" si="0"/>
        <v>0.27</v>
      </c>
      <c r="Q32" s="29">
        <f t="shared" si="1"/>
        <v>73</v>
      </c>
      <c r="R32" s="30" t="s">
        <v>337</v>
      </c>
      <c r="S32" s="30" t="s">
        <v>331</v>
      </c>
      <c r="T32" s="30" t="s">
        <v>265</v>
      </c>
      <c r="U32" s="29" t="s">
        <v>247</v>
      </c>
      <c r="V32" s="29" t="s">
        <v>247</v>
      </c>
      <c r="W32" s="29" t="str">
        <f t="shared" si="2"/>
        <v>NR</v>
      </c>
      <c r="X32" s="30" t="s">
        <v>380</v>
      </c>
      <c r="Y32" s="30" t="s">
        <v>247</v>
      </c>
      <c r="Z32" s="30" t="s">
        <v>250</v>
      </c>
      <c r="AA32" s="30" t="s">
        <v>251</v>
      </c>
      <c r="AB32" s="30" t="s">
        <v>252</v>
      </c>
      <c r="AC32" s="30" t="s">
        <v>381</v>
      </c>
      <c r="AD32" s="9" t="s">
        <v>112</v>
      </c>
      <c r="AE32" s="9" t="s">
        <v>254</v>
      </c>
      <c r="AF32" s="9" t="s">
        <v>334</v>
      </c>
      <c r="AG32" s="9" t="s">
        <v>262</v>
      </c>
      <c r="AH32" s="9" t="s">
        <v>256</v>
      </c>
    </row>
    <row r="33" spans="1:34" ht="113.25" customHeight="1" x14ac:dyDescent="0.25">
      <c r="A33" s="33" t="s">
        <v>382</v>
      </c>
      <c r="B33" s="34" t="s">
        <v>130</v>
      </c>
      <c r="C33" s="29">
        <v>0.81200000000000006</v>
      </c>
      <c r="D33" s="29">
        <v>0.81200000000000006</v>
      </c>
      <c r="E33" s="29">
        <v>0.81200000000000006</v>
      </c>
      <c r="F33" s="29">
        <v>0.81200000000000006</v>
      </c>
      <c r="G33" s="29">
        <v>0.81200000000000006</v>
      </c>
      <c r="H33" s="29">
        <v>20</v>
      </c>
      <c r="I33" s="30"/>
      <c r="J33" s="30"/>
      <c r="K33" s="30"/>
      <c r="L33" s="30" t="s">
        <v>383</v>
      </c>
      <c r="M33" s="31" t="s">
        <v>244</v>
      </c>
      <c r="N33" s="29">
        <v>4</v>
      </c>
      <c r="O33" s="30" t="s">
        <v>49</v>
      </c>
      <c r="P33" s="29">
        <f t="shared" si="0"/>
        <v>0.81200000000000006</v>
      </c>
      <c r="Q33" s="29">
        <f t="shared" si="1"/>
        <v>18.8</v>
      </c>
      <c r="R33" s="30" t="s">
        <v>54</v>
      </c>
      <c r="S33" s="30" t="s">
        <v>54</v>
      </c>
      <c r="T33" s="30" t="s">
        <v>265</v>
      </c>
      <c r="U33" s="29">
        <v>2030</v>
      </c>
      <c r="V33" s="29">
        <v>15350</v>
      </c>
      <c r="W33" s="29">
        <f t="shared" si="2"/>
        <v>8690</v>
      </c>
      <c r="X33" s="30" t="s">
        <v>248</v>
      </c>
      <c r="Y33" s="30" t="s">
        <v>247</v>
      </c>
      <c r="Z33" s="30" t="s">
        <v>250</v>
      </c>
      <c r="AA33" s="30" t="s">
        <v>281</v>
      </c>
      <c r="AB33" s="30" t="s">
        <v>252</v>
      </c>
      <c r="AC33" s="30" t="s">
        <v>751</v>
      </c>
      <c r="AD33" s="9" t="s">
        <v>112</v>
      </c>
      <c r="AE33" s="9" t="s">
        <v>261</v>
      </c>
      <c r="AF33" s="9" t="s">
        <v>199</v>
      </c>
      <c r="AG33" s="9" t="s">
        <v>384</v>
      </c>
      <c r="AH33" s="9" t="s">
        <v>256</v>
      </c>
    </row>
    <row r="34" spans="1:34" ht="34.5" customHeight="1" x14ac:dyDescent="0.25">
      <c r="A34" s="33" t="s">
        <v>385</v>
      </c>
      <c r="B34" s="34" t="s">
        <v>130</v>
      </c>
      <c r="C34" s="29">
        <v>0.61299999999999999</v>
      </c>
      <c r="D34" s="29">
        <v>0.61299999999999999</v>
      </c>
      <c r="E34" s="29">
        <v>0.61299999999999999</v>
      </c>
      <c r="F34" s="29">
        <v>0.61299999999999999</v>
      </c>
      <c r="G34" s="29">
        <v>0.61299999999999999</v>
      </c>
      <c r="H34" s="29">
        <v>20</v>
      </c>
      <c r="I34" s="30"/>
      <c r="J34" s="30"/>
      <c r="K34" s="30"/>
      <c r="L34" s="30" t="s">
        <v>386</v>
      </c>
      <c r="M34" s="32" t="s">
        <v>273</v>
      </c>
      <c r="N34" s="29">
        <v>4</v>
      </c>
      <c r="O34" s="30" t="s">
        <v>49</v>
      </c>
      <c r="P34" s="29">
        <f t="shared" si="0"/>
        <v>0.61299999999999999</v>
      </c>
      <c r="Q34" s="29">
        <f t="shared" si="1"/>
        <v>38.700000000000003</v>
      </c>
      <c r="R34" s="30" t="s">
        <v>54</v>
      </c>
      <c r="S34" s="30" t="s">
        <v>387</v>
      </c>
      <c r="T34" s="30" t="s">
        <v>265</v>
      </c>
      <c r="U34" s="29">
        <v>8333</v>
      </c>
      <c r="V34" s="29">
        <v>13900</v>
      </c>
      <c r="W34" s="29">
        <f t="shared" si="2"/>
        <v>11117</v>
      </c>
      <c r="X34" s="30" t="s">
        <v>248</v>
      </c>
      <c r="Y34" s="30" t="s">
        <v>247</v>
      </c>
      <c r="Z34" s="30" t="s">
        <v>250</v>
      </c>
      <c r="AA34" s="30" t="s">
        <v>297</v>
      </c>
      <c r="AB34" s="30" t="s">
        <v>252</v>
      </c>
      <c r="AC34" s="30" t="s">
        <v>388</v>
      </c>
      <c r="AD34" s="9" t="s">
        <v>112</v>
      </c>
      <c r="AE34" s="9" t="s">
        <v>261</v>
      </c>
      <c r="AF34" s="9" t="s">
        <v>389</v>
      </c>
      <c r="AG34" s="9" t="s">
        <v>390</v>
      </c>
      <c r="AH34" s="9" t="s">
        <v>256</v>
      </c>
    </row>
    <row r="35" spans="1:34" ht="113.25" customHeight="1" x14ac:dyDescent="0.25">
      <c r="A35" s="33" t="s">
        <v>382</v>
      </c>
      <c r="B35" s="34" t="s">
        <v>130</v>
      </c>
      <c r="C35" s="29">
        <v>0.748</v>
      </c>
      <c r="D35" s="29">
        <v>0.748</v>
      </c>
      <c r="E35" s="29">
        <v>0.748</v>
      </c>
      <c r="F35" s="29">
        <v>0.748</v>
      </c>
      <c r="G35" s="29">
        <v>0.748</v>
      </c>
      <c r="H35" s="29">
        <v>20</v>
      </c>
      <c r="I35" s="30"/>
      <c r="J35" s="30"/>
      <c r="K35" s="30"/>
      <c r="L35" s="30" t="s">
        <v>391</v>
      </c>
      <c r="M35" s="32" t="s">
        <v>273</v>
      </c>
      <c r="N35" s="29">
        <v>4</v>
      </c>
      <c r="O35" s="30" t="s">
        <v>49</v>
      </c>
      <c r="P35" s="29">
        <f t="shared" ref="P35:P66" si="3">C35</f>
        <v>0.748</v>
      </c>
      <c r="Q35" s="29">
        <f t="shared" ref="Q35:Q66" si="4">IF(ISNUMBER(P35),ROUND((1-P35)*100,1),"NR")</f>
        <v>25.2</v>
      </c>
      <c r="R35" s="30" t="s">
        <v>54</v>
      </c>
      <c r="S35" s="30" t="s">
        <v>54</v>
      </c>
      <c r="T35" s="30" t="s">
        <v>265</v>
      </c>
      <c r="U35" s="29">
        <v>2030</v>
      </c>
      <c r="V35" s="29">
        <v>15350</v>
      </c>
      <c r="W35" s="29">
        <f t="shared" ref="W35:W66" si="5">IF(AND(ISNUMBER(U35),ISNUMBER(V35)),ROUND((U35+V35)/2,0),IF(ISNUMBER(U35),U35,IF(ISNUMBER(V35),V35,"NR")))</f>
        <v>8690</v>
      </c>
      <c r="X35" s="30" t="s">
        <v>248</v>
      </c>
      <c r="Y35" s="30" t="s">
        <v>247</v>
      </c>
      <c r="Z35" s="30" t="s">
        <v>250</v>
      </c>
      <c r="AA35" s="30" t="s">
        <v>281</v>
      </c>
      <c r="AB35" s="30" t="s">
        <v>252</v>
      </c>
      <c r="AC35" s="30" t="s">
        <v>752</v>
      </c>
      <c r="AD35" s="9" t="s">
        <v>112</v>
      </c>
      <c r="AE35" s="9" t="s">
        <v>261</v>
      </c>
      <c r="AF35" s="9" t="s">
        <v>199</v>
      </c>
      <c r="AG35" s="9" t="s">
        <v>384</v>
      </c>
      <c r="AH35" s="9" t="s">
        <v>256</v>
      </c>
    </row>
    <row r="36" spans="1:34" ht="34.5" customHeight="1" x14ac:dyDescent="0.25">
      <c r="A36" s="33" t="s">
        <v>392</v>
      </c>
      <c r="B36" s="34" t="s">
        <v>135</v>
      </c>
      <c r="C36" s="29">
        <v>0.59799999999999998</v>
      </c>
      <c r="D36" s="29">
        <v>0.59799999999999998</v>
      </c>
      <c r="E36" s="29">
        <v>0.59799999999999998</v>
      </c>
      <c r="F36" s="29">
        <v>0.59799999999999998</v>
      </c>
      <c r="G36" s="29">
        <v>0.59799999999999998</v>
      </c>
      <c r="H36" s="29">
        <v>20</v>
      </c>
      <c r="I36" s="30"/>
      <c r="J36" s="30"/>
      <c r="K36" s="30"/>
      <c r="L36" s="30" t="s">
        <v>393</v>
      </c>
      <c r="M36" s="32" t="s">
        <v>273</v>
      </c>
      <c r="N36" s="29">
        <v>4</v>
      </c>
      <c r="O36" s="30" t="s">
        <v>248</v>
      </c>
      <c r="P36" s="29">
        <f t="shared" si="3"/>
        <v>0.59799999999999998</v>
      </c>
      <c r="Q36" s="29">
        <f t="shared" si="4"/>
        <v>40.200000000000003</v>
      </c>
      <c r="R36" s="30" t="s">
        <v>54</v>
      </c>
      <c r="S36" s="30" t="s">
        <v>331</v>
      </c>
      <c r="T36" s="30" t="s">
        <v>54</v>
      </c>
      <c r="U36" s="29" t="s">
        <v>247</v>
      </c>
      <c r="V36" s="29" t="s">
        <v>247</v>
      </c>
      <c r="W36" s="29" t="str">
        <f t="shared" si="5"/>
        <v>NR</v>
      </c>
      <c r="X36" s="30" t="s">
        <v>248</v>
      </c>
      <c r="Y36" s="30" t="s">
        <v>247</v>
      </c>
      <c r="Z36" s="30" t="s">
        <v>250</v>
      </c>
      <c r="AA36" s="30" t="s">
        <v>307</v>
      </c>
      <c r="AB36" s="30" t="s">
        <v>269</v>
      </c>
      <c r="AC36" s="30"/>
      <c r="AD36" s="9" t="s">
        <v>112</v>
      </c>
      <c r="AE36" s="9" t="s">
        <v>261</v>
      </c>
      <c r="AF36" s="9" t="s">
        <v>334</v>
      </c>
      <c r="AG36" s="9" t="s">
        <v>262</v>
      </c>
      <c r="AH36" s="9" t="s">
        <v>256</v>
      </c>
    </row>
    <row r="37" spans="1:34" ht="34.5" customHeight="1" x14ac:dyDescent="0.25">
      <c r="A37" s="35" t="s">
        <v>394</v>
      </c>
      <c r="B37" s="36" t="s">
        <v>139</v>
      </c>
      <c r="C37" s="29">
        <v>0.75</v>
      </c>
      <c r="D37" s="29">
        <v>0.75</v>
      </c>
      <c r="E37" s="29">
        <v>0.75</v>
      </c>
      <c r="F37" s="29">
        <v>0.75</v>
      </c>
      <c r="G37" s="29">
        <v>0.75</v>
      </c>
      <c r="H37" s="29">
        <v>20</v>
      </c>
      <c r="I37" s="30"/>
      <c r="J37" s="30"/>
      <c r="K37" s="30"/>
      <c r="L37" s="30" t="s">
        <v>395</v>
      </c>
      <c r="M37" s="31" t="s">
        <v>244</v>
      </c>
      <c r="N37" s="29">
        <v>5</v>
      </c>
      <c r="O37" s="30" t="s">
        <v>55</v>
      </c>
      <c r="P37" s="29">
        <f t="shared" si="3"/>
        <v>0.75</v>
      </c>
      <c r="Q37" s="29">
        <f t="shared" si="4"/>
        <v>25</v>
      </c>
      <c r="R37" s="30" t="s">
        <v>54</v>
      </c>
      <c r="S37" s="30" t="s">
        <v>396</v>
      </c>
      <c r="T37" s="30" t="s">
        <v>54</v>
      </c>
      <c r="U37" s="29">
        <v>261</v>
      </c>
      <c r="V37" s="29">
        <v>14790</v>
      </c>
      <c r="W37" s="29">
        <f t="shared" si="5"/>
        <v>7526</v>
      </c>
      <c r="X37" s="30" t="s">
        <v>248</v>
      </c>
      <c r="Y37" s="30" t="s">
        <v>247</v>
      </c>
      <c r="Z37" s="30" t="s">
        <v>250</v>
      </c>
      <c r="AA37" s="30" t="s">
        <v>297</v>
      </c>
      <c r="AB37" s="30" t="s">
        <v>252</v>
      </c>
      <c r="AC37" s="30"/>
      <c r="AD37" s="9" t="s">
        <v>112</v>
      </c>
      <c r="AE37" s="9" t="s">
        <v>261</v>
      </c>
      <c r="AF37" s="9" t="s">
        <v>397</v>
      </c>
      <c r="AG37" s="9" t="s">
        <v>398</v>
      </c>
      <c r="AH37" s="9" t="s">
        <v>112</v>
      </c>
    </row>
    <row r="38" spans="1:34" ht="45.75" customHeight="1" x14ac:dyDescent="0.25">
      <c r="A38" s="35" t="s">
        <v>399</v>
      </c>
      <c r="B38" s="36" t="s">
        <v>139</v>
      </c>
      <c r="C38" s="29">
        <v>0.85199999999999998</v>
      </c>
      <c r="D38" s="29">
        <v>0.85199999999999998</v>
      </c>
      <c r="E38" s="29">
        <v>0.85199999999999998</v>
      </c>
      <c r="F38" s="29">
        <v>0.85199999999999998</v>
      </c>
      <c r="G38" s="29">
        <v>0.85199999999999998</v>
      </c>
      <c r="H38" s="29">
        <v>20</v>
      </c>
      <c r="I38" s="30"/>
      <c r="J38" s="30"/>
      <c r="K38" s="30"/>
      <c r="L38" s="30" t="s">
        <v>400</v>
      </c>
      <c r="M38" s="31" t="s">
        <v>244</v>
      </c>
      <c r="N38" s="29">
        <v>3</v>
      </c>
      <c r="O38" s="30" t="s">
        <v>265</v>
      </c>
      <c r="P38" s="29">
        <f t="shared" si="3"/>
        <v>0.85199999999999998</v>
      </c>
      <c r="Q38" s="29">
        <f t="shared" si="4"/>
        <v>14.8</v>
      </c>
      <c r="R38" s="30" t="s">
        <v>245</v>
      </c>
      <c r="S38" s="30" t="s">
        <v>54</v>
      </c>
      <c r="T38" s="30" t="s">
        <v>265</v>
      </c>
      <c r="U38" s="29">
        <v>173</v>
      </c>
      <c r="V38" s="29">
        <v>27235</v>
      </c>
      <c r="W38" s="29">
        <f t="shared" si="5"/>
        <v>13704</v>
      </c>
      <c r="X38" s="30" t="s">
        <v>248</v>
      </c>
      <c r="Y38" s="30" t="s">
        <v>247</v>
      </c>
      <c r="Z38" s="30" t="s">
        <v>250</v>
      </c>
      <c r="AA38" s="30" t="s">
        <v>275</v>
      </c>
      <c r="AB38" s="30" t="s">
        <v>252</v>
      </c>
      <c r="AC38" s="30" t="s">
        <v>753</v>
      </c>
      <c r="AD38" s="37" t="s">
        <v>401</v>
      </c>
      <c r="AE38" s="37" t="s">
        <v>254</v>
      </c>
      <c r="AF38" s="37" t="s">
        <v>199</v>
      </c>
      <c r="AG38" s="37" t="s">
        <v>402</v>
      </c>
      <c r="AH38" s="37" t="s">
        <v>112</v>
      </c>
    </row>
    <row r="39" spans="1:34" ht="34.5" customHeight="1" x14ac:dyDescent="0.25">
      <c r="A39" s="35" t="s">
        <v>403</v>
      </c>
      <c r="B39" s="36" t="s">
        <v>139</v>
      </c>
      <c r="C39" s="29">
        <v>0.65200000000000002</v>
      </c>
      <c r="D39" s="29">
        <v>0.65200000000000002</v>
      </c>
      <c r="E39" s="29">
        <v>0.65200000000000002</v>
      </c>
      <c r="F39" s="29">
        <v>0.65200000000000002</v>
      </c>
      <c r="G39" s="29">
        <v>0.65200000000000002</v>
      </c>
      <c r="H39" s="29">
        <v>20</v>
      </c>
      <c r="I39" s="30"/>
      <c r="J39" s="30"/>
      <c r="K39" s="30"/>
      <c r="L39" s="30" t="s">
        <v>404</v>
      </c>
      <c r="M39" s="31" t="s">
        <v>244</v>
      </c>
      <c r="N39" s="29">
        <v>5</v>
      </c>
      <c r="O39" s="30" t="s">
        <v>55</v>
      </c>
      <c r="P39" s="29">
        <f t="shared" si="3"/>
        <v>0.65200000000000002</v>
      </c>
      <c r="Q39" s="29">
        <f t="shared" si="4"/>
        <v>34.799999999999997</v>
      </c>
      <c r="R39" s="30" t="s">
        <v>54</v>
      </c>
      <c r="S39" s="30" t="s">
        <v>54</v>
      </c>
      <c r="T39" s="30" t="s">
        <v>265</v>
      </c>
      <c r="U39" s="29">
        <v>100</v>
      </c>
      <c r="V39" s="29">
        <v>15998</v>
      </c>
      <c r="W39" s="29">
        <f t="shared" si="5"/>
        <v>8049</v>
      </c>
      <c r="X39" s="30" t="s">
        <v>248</v>
      </c>
      <c r="Y39" s="30" t="s">
        <v>247</v>
      </c>
      <c r="Z39" s="30" t="s">
        <v>250</v>
      </c>
      <c r="AA39" s="30" t="s">
        <v>297</v>
      </c>
      <c r="AB39" s="30" t="s">
        <v>252</v>
      </c>
      <c r="AC39" s="30" t="s">
        <v>405</v>
      </c>
      <c r="AD39" s="9" t="s">
        <v>112</v>
      </c>
      <c r="AE39" s="9" t="s">
        <v>261</v>
      </c>
      <c r="AF39" s="9" t="s">
        <v>199</v>
      </c>
      <c r="AG39" s="9" t="s">
        <v>406</v>
      </c>
      <c r="AH39" s="9" t="s">
        <v>112</v>
      </c>
    </row>
    <row r="40" spans="1:34" ht="79.5" customHeight="1" x14ac:dyDescent="0.25">
      <c r="A40" s="35" t="s">
        <v>399</v>
      </c>
      <c r="B40" s="36" t="s">
        <v>139</v>
      </c>
      <c r="C40" s="29">
        <v>0.56000000000000005</v>
      </c>
      <c r="D40" s="29">
        <v>0.56000000000000005</v>
      </c>
      <c r="E40" s="29">
        <v>0.56000000000000005</v>
      </c>
      <c r="F40" s="29">
        <v>0.56000000000000005</v>
      </c>
      <c r="G40" s="29">
        <v>0.56000000000000005</v>
      </c>
      <c r="H40" s="29">
        <v>20</v>
      </c>
      <c r="I40" s="30"/>
      <c r="J40" s="30"/>
      <c r="K40" s="30"/>
      <c r="L40" s="30" t="s">
        <v>407</v>
      </c>
      <c r="M40" s="32" t="s">
        <v>273</v>
      </c>
      <c r="N40" s="29">
        <v>4</v>
      </c>
      <c r="O40" s="30" t="s">
        <v>265</v>
      </c>
      <c r="P40" s="29">
        <f t="shared" si="3"/>
        <v>0.56000000000000005</v>
      </c>
      <c r="Q40" s="29">
        <f t="shared" si="4"/>
        <v>44</v>
      </c>
      <c r="R40" s="30" t="s">
        <v>54</v>
      </c>
      <c r="S40" s="30" t="s">
        <v>408</v>
      </c>
      <c r="T40" s="30" t="s">
        <v>265</v>
      </c>
      <c r="U40" s="29">
        <v>173</v>
      </c>
      <c r="V40" s="29">
        <v>27235</v>
      </c>
      <c r="W40" s="29">
        <f t="shared" si="5"/>
        <v>13704</v>
      </c>
      <c r="X40" s="30" t="s">
        <v>248</v>
      </c>
      <c r="Y40" s="30" t="s">
        <v>247</v>
      </c>
      <c r="Z40" s="30" t="s">
        <v>250</v>
      </c>
      <c r="AA40" s="30" t="s">
        <v>275</v>
      </c>
      <c r="AB40" s="30" t="s">
        <v>252</v>
      </c>
      <c r="AC40" s="30" t="s">
        <v>754</v>
      </c>
      <c r="AD40" s="9" t="s">
        <v>112</v>
      </c>
      <c r="AE40" s="9" t="s">
        <v>261</v>
      </c>
      <c r="AF40" s="9" t="s">
        <v>409</v>
      </c>
      <c r="AG40" s="9" t="s">
        <v>402</v>
      </c>
      <c r="AH40" s="9" t="s">
        <v>112</v>
      </c>
    </row>
    <row r="41" spans="1:34" ht="34.5" customHeight="1" x14ac:dyDescent="0.25">
      <c r="A41" s="35" t="s">
        <v>403</v>
      </c>
      <c r="B41" s="36" t="s">
        <v>139</v>
      </c>
      <c r="C41" s="29">
        <v>0.61599999999999999</v>
      </c>
      <c r="D41" s="29">
        <v>0.61599999999999999</v>
      </c>
      <c r="E41" s="29">
        <v>0.61599999999999999</v>
      </c>
      <c r="F41" s="29">
        <v>0.61599999999999999</v>
      </c>
      <c r="G41" s="29">
        <v>0.61599999999999999</v>
      </c>
      <c r="H41" s="29">
        <v>20</v>
      </c>
      <c r="I41" s="30"/>
      <c r="J41" s="30"/>
      <c r="K41" s="30"/>
      <c r="L41" s="30" t="s">
        <v>410</v>
      </c>
      <c r="M41" s="32" t="s">
        <v>273</v>
      </c>
      <c r="N41" s="29">
        <v>4</v>
      </c>
      <c r="O41" s="30" t="s">
        <v>248</v>
      </c>
      <c r="P41" s="29">
        <f t="shared" si="3"/>
        <v>0.61599999999999999</v>
      </c>
      <c r="Q41" s="29">
        <f t="shared" si="4"/>
        <v>38.4</v>
      </c>
      <c r="R41" s="30" t="s">
        <v>54</v>
      </c>
      <c r="S41" s="30" t="s">
        <v>54</v>
      </c>
      <c r="T41" s="30" t="s">
        <v>265</v>
      </c>
      <c r="U41" s="29">
        <v>590</v>
      </c>
      <c r="V41" s="29">
        <v>7600</v>
      </c>
      <c r="W41" s="29">
        <f t="shared" si="5"/>
        <v>4095</v>
      </c>
      <c r="X41" s="30" t="s">
        <v>248</v>
      </c>
      <c r="Y41" s="30" t="s">
        <v>247</v>
      </c>
      <c r="Z41" s="30" t="s">
        <v>250</v>
      </c>
      <c r="AA41" s="30" t="s">
        <v>411</v>
      </c>
      <c r="AB41" s="30" t="s">
        <v>252</v>
      </c>
      <c r="AC41" s="30" t="s">
        <v>755</v>
      </c>
      <c r="AD41" s="9" t="s">
        <v>112</v>
      </c>
      <c r="AE41" s="9" t="s">
        <v>261</v>
      </c>
      <c r="AF41" s="9" t="s">
        <v>199</v>
      </c>
      <c r="AG41" s="9" t="s">
        <v>412</v>
      </c>
      <c r="AH41" s="9" t="s">
        <v>112</v>
      </c>
    </row>
    <row r="42" spans="1:34" ht="34.5" customHeight="1" x14ac:dyDescent="0.25">
      <c r="A42" s="35" t="s">
        <v>413</v>
      </c>
      <c r="B42" s="36" t="s">
        <v>139</v>
      </c>
      <c r="C42" s="29">
        <v>0.65</v>
      </c>
      <c r="D42" s="29">
        <v>0.65</v>
      </c>
      <c r="E42" s="29">
        <v>0.65</v>
      </c>
      <c r="F42" s="29">
        <v>0.65</v>
      </c>
      <c r="G42" s="29">
        <v>0.65</v>
      </c>
      <c r="H42" s="29">
        <v>20</v>
      </c>
      <c r="I42" s="30"/>
      <c r="J42" s="30"/>
      <c r="K42" s="30"/>
      <c r="L42" s="30" t="s">
        <v>414</v>
      </c>
      <c r="M42" s="32" t="s">
        <v>273</v>
      </c>
      <c r="N42" s="29">
        <v>5</v>
      </c>
      <c r="O42" s="30" t="s">
        <v>55</v>
      </c>
      <c r="P42" s="29">
        <f t="shared" si="3"/>
        <v>0.65</v>
      </c>
      <c r="Q42" s="29">
        <f t="shared" si="4"/>
        <v>35</v>
      </c>
      <c r="R42" s="30" t="s">
        <v>54</v>
      </c>
      <c r="S42" s="30" t="s">
        <v>396</v>
      </c>
      <c r="T42" s="30" t="s">
        <v>54</v>
      </c>
      <c r="U42" s="29">
        <v>895</v>
      </c>
      <c r="V42" s="29">
        <v>20479</v>
      </c>
      <c r="W42" s="29">
        <f t="shared" si="5"/>
        <v>10687</v>
      </c>
      <c r="X42" s="30" t="s">
        <v>248</v>
      </c>
      <c r="Y42" s="30" t="s">
        <v>247</v>
      </c>
      <c r="Z42" s="30" t="s">
        <v>250</v>
      </c>
      <c r="AA42" s="30" t="s">
        <v>297</v>
      </c>
      <c r="AB42" s="30" t="s">
        <v>252</v>
      </c>
      <c r="AC42" s="30"/>
      <c r="AD42" s="9" t="s">
        <v>112</v>
      </c>
      <c r="AE42" s="9" t="s">
        <v>261</v>
      </c>
      <c r="AF42" s="9" t="s">
        <v>397</v>
      </c>
      <c r="AG42" s="9" t="s">
        <v>415</v>
      </c>
      <c r="AH42" s="9" t="s">
        <v>112</v>
      </c>
    </row>
    <row r="43" spans="1:34" ht="34.5" customHeight="1" x14ac:dyDescent="0.25">
      <c r="A43" s="35" t="s">
        <v>394</v>
      </c>
      <c r="B43" s="36" t="s">
        <v>139</v>
      </c>
      <c r="C43" s="29">
        <v>0.78</v>
      </c>
      <c r="D43" s="29">
        <v>0.78</v>
      </c>
      <c r="E43" s="29">
        <v>0.78</v>
      </c>
      <c r="F43" s="29">
        <v>0.78</v>
      </c>
      <c r="G43" s="29">
        <v>0.78</v>
      </c>
      <c r="H43" s="29">
        <v>20</v>
      </c>
      <c r="I43" s="30"/>
      <c r="J43" s="30"/>
      <c r="K43" s="30"/>
      <c r="L43" s="30" t="s">
        <v>416</v>
      </c>
      <c r="M43" s="32" t="s">
        <v>273</v>
      </c>
      <c r="N43" s="29">
        <v>5</v>
      </c>
      <c r="O43" s="30" t="s">
        <v>55</v>
      </c>
      <c r="P43" s="29">
        <f t="shared" si="3"/>
        <v>0.78</v>
      </c>
      <c r="Q43" s="29">
        <f t="shared" si="4"/>
        <v>22</v>
      </c>
      <c r="R43" s="30" t="s">
        <v>54</v>
      </c>
      <c r="S43" s="30" t="s">
        <v>417</v>
      </c>
      <c r="T43" s="30" t="s">
        <v>54</v>
      </c>
      <c r="U43" s="29">
        <v>261</v>
      </c>
      <c r="V43" s="29">
        <v>14790</v>
      </c>
      <c r="W43" s="29">
        <f t="shared" si="5"/>
        <v>7526</v>
      </c>
      <c r="X43" s="30" t="s">
        <v>248</v>
      </c>
      <c r="Y43" s="30" t="s">
        <v>247</v>
      </c>
      <c r="Z43" s="30" t="s">
        <v>250</v>
      </c>
      <c r="AA43" s="30" t="s">
        <v>297</v>
      </c>
      <c r="AB43" s="30" t="s">
        <v>252</v>
      </c>
      <c r="AC43" s="30"/>
      <c r="AD43" s="9" t="s">
        <v>112</v>
      </c>
      <c r="AE43" s="9" t="s">
        <v>261</v>
      </c>
      <c r="AF43" s="9" t="s">
        <v>418</v>
      </c>
      <c r="AG43" s="9" t="s">
        <v>398</v>
      </c>
      <c r="AH43" s="9" t="s">
        <v>112</v>
      </c>
    </row>
    <row r="44" spans="1:34" ht="34.5" customHeight="1" x14ac:dyDescent="0.25">
      <c r="A44" s="35" t="s">
        <v>419</v>
      </c>
      <c r="B44" s="36" t="s">
        <v>139</v>
      </c>
      <c r="C44" s="29">
        <v>0.21</v>
      </c>
      <c r="D44" s="29">
        <v>0.21</v>
      </c>
      <c r="E44" s="29">
        <v>0.21</v>
      </c>
      <c r="F44" s="29">
        <v>0.21</v>
      </c>
      <c r="G44" s="29">
        <v>0.21</v>
      </c>
      <c r="H44" s="29">
        <v>20</v>
      </c>
      <c r="I44" s="30"/>
      <c r="J44" s="30"/>
      <c r="K44" s="30"/>
      <c r="L44" s="30" t="s">
        <v>420</v>
      </c>
      <c r="M44" s="32" t="s">
        <v>273</v>
      </c>
      <c r="N44" s="29">
        <v>4</v>
      </c>
      <c r="O44" s="30" t="s">
        <v>265</v>
      </c>
      <c r="P44" s="29">
        <f t="shared" si="3"/>
        <v>0.21</v>
      </c>
      <c r="Q44" s="29">
        <f t="shared" si="4"/>
        <v>79</v>
      </c>
      <c r="R44" s="30" t="s">
        <v>54</v>
      </c>
      <c r="S44" s="30" t="s">
        <v>408</v>
      </c>
      <c r="T44" s="30" t="s">
        <v>246</v>
      </c>
      <c r="U44" s="29">
        <v>7400</v>
      </c>
      <c r="V44" s="29">
        <v>13975</v>
      </c>
      <c r="W44" s="29">
        <f t="shared" si="5"/>
        <v>10688</v>
      </c>
      <c r="X44" s="30" t="s">
        <v>248</v>
      </c>
      <c r="Y44" s="30" t="s">
        <v>247</v>
      </c>
      <c r="Z44" s="30" t="s">
        <v>250</v>
      </c>
      <c r="AA44" s="30" t="s">
        <v>251</v>
      </c>
      <c r="AB44" s="30" t="s">
        <v>252</v>
      </c>
      <c r="AC44" s="30"/>
      <c r="AD44" s="9" t="s">
        <v>112</v>
      </c>
      <c r="AE44" s="9" t="s">
        <v>261</v>
      </c>
      <c r="AF44" s="9" t="s">
        <v>409</v>
      </c>
      <c r="AG44" s="9" t="s">
        <v>421</v>
      </c>
      <c r="AH44" s="9" t="s">
        <v>112</v>
      </c>
    </row>
    <row r="45" spans="1:34" ht="34.5" customHeight="1" x14ac:dyDescent="0.25">
      <c r="A45" s="35" t="s">
        <v>422</v>
      </c>
      <c r="B45" s="36" t="s">
        <v>139</v>
      </c>
      <c r="C45" s="29">
        <v>0.23100000000000001</v>
      </c>
      <c r="D45" s="29">
        <v>0.23100000000000001</v>
      </c>
      <c r="E45" s="29">
        <v>0.23100000000000001</v>
      </c>
      <c r="F45" s="29">
        <v>0.23100000000000001</v>
      </c>
      <c r="G45" s="29">
        <v>0.23100000000000001</v>
      </c>
      <c r="H45" s="29">
        <v>20</v>
      </c>
      <c r="I45" s="30"/>
      <c r="J45" s="30"/>
      <c r="K45" s="30"/>
      <c r="L45" s="30" t="s">
        <v>423</v>
      </c>
      <c r="M45" s="32" t="s">
        <v>273</v>
      </c>
      <c r="N45" s="29">
        <v>4</v>
      </c>
      <c r="O45" s="30" t="s">
        <v>265</v>
      </c>
      <c r="P45" s="29">
        <f t="shared" si="3"/>
        <v>0.23100000000000001</v>
      </c>
      <c r="Q45" s="29">
        <f t="shared" si="4"/>
        <v>76.900000000000006</v>
      </c>
      <c r="R45" s="30" t="s">
        <v>54</v>
      </c>
      <c r="S45" s="30" t="s">
        <v>408</v>
      </c>
      <c r="T45" s="30" t="s">
        <v>246</v>
      </c>
      <c r="U45" s="29">
        <v>7400</v>
      </c>
      <c r="V45" s="29">
        <v>13975</v>
      </c>
      <c r="W45" s="29">
        <f t="shared" si="5"/>
        <v>10688</v>
      </c>
      <c r="X45" s="30" t="s">
        <v>248</v>
      </c>
      <c r="Y45" s="30" t="s">
        <v>247</v>
      </c>
      <c r="Z45" s="30" t="s">
        <v>250</v>
      </c>
      <c r="AA45" s="30" t="s">
        <v>251</v>
      </c>
      <c r="AB45" s="30" t="s">
        <v>252</v>
      </c>
      <c r="AC45" s="30"/>
      <c r="AD45" s="9" t="s">
        <v>112</v>
      </c>
      <c r="AE45" s="9" t="s">
        <v>261</v>
      </c>
      <c r="AF45" s="9" t="s">
        <v>409</v>
      </c>
      <c r="AG45" s="9" t="s">
        <v>421</v>
      </c>
      <c r="AH45" s="9" t="s">
        <v>112</v>
      </c>
    </row>
    <row r="46" spans="1:34" ht="45.75" customHeight="1" x14ac:dyDescent="0.25">
      <c r="A46" s="35" t="s">
        <v>424</v>
      </c>
      <c r="B46" s="36" t="s">
        <v>144</v>
      </c>
      <c r="C46" s="29">
        <v>0.56000000000000005</v>
      </c>
      <c r="D46" s="29">
        <v>0.56000000000000005</v>
      </c>
      <c r="E46" s="29">
        <v>0.56000000000000005</v>
      </c>
      <c r="F46" s="29">
        <v>0.56000000000000005</v>
      </c>
      <c r="G46" s="29">
        <v>0.56000000000000005</v>
      </c>
      <c r="H46" s="29">
        <v>20</v>
      </c>
      <c r="I46" s="30"/>
      <c r="J46" s="30"/>
      <c r="K46" s="30"/>
      <c r="L46" s="30" t="s">
        <v>425</v>
      </c>
      <c r="M46" s="31" t="s">
        <v>244</v>
      </c>
      <c r="N46" s="29">
        <v>4</v>
      </c>
      <c r="O46" s="30" t="s">
        <v>55</v>
      </c>
      <c r="P46" s="29">
        <f t="shared" si="3"/>
        <v>0.56000000000000005</v>
      </c>
      <c r="Q46" s="29">
        <f t="shared" si="4"/>
        <v>44</v>
      </c>
      <c r="R46" s="30" t="s">
        <v>245</v>
      </c>
      <c r="S46" s="30" t="s">
        <v>426</v>
      </c>
      <c r="T46" s="30" t="s">
        <v>313</v>
      </c>
      <c r="U46" s="29">
        <v>574</v>
      </c>
      <c r="V46" s="29">
        <v>17591</v>
      </c>
      <c r="W46" s="29">
        <f t="shared" si="5"/>
        <v>9083</v>
      </c>
      <c r="X46" s="30" t="s">
        <v>248</v>
      </c>
      <c r="Y46" s="30" t="s">
        <v>247</v>
      </c>
      <c r="Z46" s="30" t="s">
        <v>250</v>
      </c>
      <c r="AA46" s="30" t="s">
        <v>297</v>
      </c>
      <c r="AB46" s="30" t="s">
        <v>252</v>
      </c>
      <c r="AC46" s="30" t="s">
        <v>427</v>
      </c>
      <c r="AD46" s="9" t="s">
        <v>112</v>
      </c>
      <c r="AE46" s="9" t="s">
        <v>254</v>
      </c>
      <c r="AF46" s="9" t="s">
        <v>428</v>
      </c>
      <c r="AG46" s="9" t="s">
        <v>429</v>
      </c>
      <c r="AH46" s="9" t="s">
        <v>112</v>
      </c>
    </row>
    <row r="47" spans="1:34" ht="45.75" customHeight="1" x14ac:dyDescent="0.25">
      <c r="A47" s="35" t="s">
        <v>430</v>
      </c>
      <c r="B47" s="36" t="s">
        <v>151</v>
      </c>
      <c r="C47" s="29">
        <v>0.49</v>
      </c>
      <c r="D47" s="29">
        <v>0.49</v>
      </c>
      <c r="E47" s="29">
        <v>0.49</v>
      </c>
      <c r="F47" s="29">
        <v>0.49</v>
      </c>
      <c r="G47" s="29">
        <v>0.49</v>
      </c>
      <c r="H47" s="29">
        <v>20</v>
      </c>
      <c r="I47" s="30"/>
      <c r="J47" s="30"/>
      <c r="K47" s="30"/>
      <c r="L47" s="30" t="s">
        <v>431</v>
      </c>
      <c r="M47" s="31" t="s">
        <v>244</v>
      </c>
      <c r="N47" s="29">
        <v>3</v>
      </c>
      <c r="O47" s="30" t="s">
        <v>55</v>
      </c>
      <c r="P47" s="29">
        <f t="shared" si="3"/>
        <v>0.49</v>
      </c>
      <c r="Q47" s="29">
        <f t="shared" si="4"/>
        <v>51</v>
      </c>
      <c r="R47" s="30" t="s">
        <v>245</v>
      </c>
      <c r="S47" s="30" t="s">
        <v>432</v>
      </c>
      <c r="T47" s="30" t="s">
        <v>246</v>
      </c>
      <c r="U47" s="29">
        <v>11539</v>
      </c>
      <c r="V47" s="29">
        <v>37112</v>
      </c>
      <c r="W47" s="29">
        <f t="shared" si="5"/>
        <v>24326</v>
      </c>
      <c r="X47" s="30" t="s">
        <v>248</v>
      </c>
      <c r="Y47" s="30" t="s">
        <v>247</v>
      </c>
      <c r="Z47" s="30" t="s">
        <v>250</v>
      </c>
      <c r="AA47" s="30" t="s">
        <v>433</v>
      </c>
      <c r="AB47" s="30" t="s">
        <v>269</v>
      </c>
      <c r="AC47" s="30" t="s">
        <v>756</v>
      </c>
      <c r="AD47" s="37" t="s">
        <v>757</v>
      </c>
      <c r="AE47" s="37" t="s">
        <v>254</v>
      </c>
      <c r="AF47" s="37" t="s">
        <v>435</v>
      </c>
      <c r="AG47" s="37" t="s">
        <v>436</v>
      </c>
      <c r="AH47" s="37" t="s">
        <v>112</v>
      </c>
    </row>
    <row r="48" spans="1:34" ht="45.75" customHeight="1" x14ac:dyDescent="0.25">
      <c r="A48" s="35" t="s">
        <v>437</v>
      </c>
      <c r="B48" s="36" t="s">
        <v>151</v>
      </c>
      <c r="C48" s="29">
        <v>0.87</v>
      </c>
      <c r="D48" s="29">
        <v>0.87</v>
      </c>
      <c r="E48" s="29">
        <v>0.87</v>
      </c>
      <c r="F48" s="29">
        <v>0.87</v>
      </c>
      <c r="G48" s="29">
        <v>0.87</v>
      </c>
      <c r="H48" s="29">
        <v>20</v>
      </c>
      <c r="I48" s="30"/>
      <c r="J48" s="30"/>
      <c r="K48" s="30"/>
      <c r="L48" s="30" t="s">
        <v>438</v>
      </c>
      <c r="M48" s="31" t="s">
        <v>244</v>
      </c>
      <c r="N48" s="29">
        <v>3</v>
      </c>
      <c r="O48" s="30" t="s">
        <v>55</v>
      </c>
      <c r="P48" s="29">
        <f t="shared" si="3"/>
        <v>0.87</v>
      </c>
      <c r="Q48" s="29">
        <f t="shared" si="4"/>
        <v>13</v>
      </c>
      <c r="R48" s="30" t="s">
        <v>245</v>
      </c>
      <c r="S48" s="30" t="s">
        <v>54</v>
      </c>
      <c r="T48" s="30" t="s">
        <v>246</v>
      </c>
      <c r="U48" s="29">
        <v>6777</v>
      </c>
      <c r="V48" s="29">
        <v>24752</v>
      </c>
      <c r="W48" s="29">
        <f t="shared" si="5"/>
        <v>15765</v>
      </c>
      <c r="X48" s="30" t="s">
        <v>248</v>
      </c>
      <c r="Y48" s="30" t="s">
        <v>247</v>
      </c>
      <c r="Z48" s="30" t="s">
        <v>250</v>
      </c>
      <c r="AA48" s="30" t="s">
        <v>260</v>
      </c>
      <c r="AB48" s="30" t="s">
        <v>252</v>
      </c>
      <c r="AC48" s="30" t="s">
        <v>756</v>
      </c>
      <c r="AD48" s="37" t="s">
        <v>256</v>
      </c>
      <c r="AE48" s="37" t="s">
        <v>254</v>
      </c>
      <c r="AF48" s="37" t="s">
        <v>199</v>
      </c>
      <c r="AG48" s="37" t="s">
        <v>439</v>
      </c>
      <c r="AH48" s="37" t="s">
        <v>112</v>
      </c>
    </row>
    <row r="49" spans="1:34" ht="34.5" customHeight="1" x14ac:dyDescent="0.25">
      <c r="A49" s="35" t="s">
        <v>440</v>
      </c>
      <c r="B49" s="36" t="s">
        <v>144</v>
      </c>
      <c r="C49" s="29">
        <v>0.43</v>
      </c>
      <c r="D49" s="29">
        <v>0.43</v>
      </c>
      <c r="E49" s="29">
        <v>0.43</v>
      </c>
      <c r="F49" s="29">
        <v>0.43</v>
      </c>
      <c r="G49" s="29">
        <v>0.43</v>
      </c>
      <c r="H49" s="29">
        <v>20</v>
      </c>
      <c r="I49" s="30"/>
      <c r="J49" s="30"/>
      <c r="K49" s="30"/>
      <c r="L49" s="30" t="s">
        <v>441</v>
      </c>
      <c r="M49" s="32" t="s">
        <v>273</v>
      </c>
      <c r="N49" s="29">
        <v>5</v>
      </c>
      <c r="O49" s="30" t="s">
        <v>248</v>
      </c>
      <c r="P49" s="29">
        <f t="shared" si="3"/>
        <v>0.43</v>
      </c>
      <c r="Q49" s="29">
        <f t="shared" si="4"/>
        <v>57</v>
      </c>
      <c r="R49" s="30" t="s">
        <v>54</v>
      </c>
      <c r="S49" s="30" t="s">
        <v>442</v>
      </c>
      <c r="T49" s="30" t="s">
        <v>259</v>
      </c>
      <c r="U49" s="29" t="s">
        <v>247</v>
      </c>
      <c r="V49" s="29" t="s">
        <v>247</v>
      </c>
      <c r="W49" s="29" t="str">
        <f t="shared" si="5"/>
        <v>NR</v>
      </c>
      <c r="X49" s="30" t="s">
        <v>248</v>
      </c>
      <c r="Y49" s="30" t="s">
        <v>247</v>
      </c>
      <c r="Z49" s="30" t="s">
        <v>250</v>
      </c>
      <c r="AA49" s="30" t="s">
        <v>275</v>
      </c>
      <c r="AB49" s="30" t="s">
        <v>252</v>
      </c>
      <c r="AC49" s="30" t="s">
        <v>443</v>
      </c>
      <c r="AD49" s="9" t="s">
        <v>112</v>
      </c>
      <c r="AE49" s="9" t="s">
        <v>261</v>
      </c>
      <c r="AF49" s="9" t="s">
        <v>444</v>
      </c>
      <c r="AG49" s="9" t="s">
        <v>262</v>
      </c>
      <c r="AH49" s="9" t="s">
        <v>112</v>
      </c>
    </row>
    <row r="50" spans="1:34" ht="34.5" customHeight="1" x14ac:dyDescent="0.25">
      <c r="A50" s="35" t="s">
        <v>424</v>
      </c>
      <c r="B50" s="36" t="s">
        <v>144</v>
      </c>
      <c r="C50" s="29">
        <v>0.51</v>
      </c>
      <c r="D50" s="29">
        <v>0.51</v>
      </c>
      <c r="E50" s="29">
        <v>0.51</v>
      </c>
      <c r="F50" s="29">
        <v>0.51</v>
      </c>
      <c r="G50" s="29">
        <v>0.51</v>
      </c>
      <c r="H50" s="29">
        <v>20</v>
      </c>
      <c r="I50" s="30"/>
      <c r="J50" s="30"/>
      <c r="K50" s="30"/>
      <c r="L50" s="30" t="s">
        <v>445</v>
      </c>
      <c r="M50" s="32" t="s">
        <v>273</v>
      </c>
      <c r="N50" s="29">
        <v>5</v>
      </c>
      <c r="O50" s="30" t="s">
        <v>55</v>
      </c>
      <c r="P50" s="29">
        <f t="shared" si="3"/>
        <v>0.51</v>
      </c>
      <c r="Q50" s="29">
        <f t="shared" si="4"/>
        <v>49</v>
      </c>
      <c r="R50" s="30" t="s">
        <v>54</v>
      </c>
      <c r="S50" s="30" t="s">
        <v>426</v>
      </c>
      <c r="T50" s="30" t="s">
        <v>313</v>
      </c>
      <c r="U50" s="29">
        <v>1336</v>
      </c>
      <c r="V50" s="29">
        <v>13240</v>
      </c>
      <c r="W50" s="29">
        <f t="shared" si="5"/>
        <v>7288</v>
      </c>
      <c r="X50" s="30" t="s">
        <v>248</v>
      </c>
      <c r="Y50" s="30" t="s">
        <v>247</v>
      </c>
      <c r="Z50" s="30" t="s">
        <v>250</v>
      </c>
      <c r="AA50" s="30" t="s">
        <v>297</v>
      </c>
      <c r="AB50" s="30" t="s">
        <v>252</v>
      </c>
      <c r="AC50" s="30" t="s">
        <v>427</v>
      </c>
      <c r="AD50" s="9" t="s">
        <v>112</v>
      </c>
      <c r="AE50" s="9" t="s">
        <v>261</v>
      </c>
      <c r="AF50" s="9" t="s">
        <v>428</v>
      </c>
      <c r="AG50" s="9" t="s">
        <v>446</v>
      </c>
      <c r="AH50" s="9" t="s">
        <v>112</v>
      </c>
    </row>
    <row r="51" spans="1:34" ht="34.5" customHeight="1" x14ac:dyDescent="0.25">
      <c r="A51" s="35" t="s">
        <v>447</v>
      </c>
      <c r="B51" s="36" t="s">
        <v>144</v>
      </c>
      <c r="C51" s="29">
        <v>0.51</v>
      </c>
      <c r="D51" s="29">
        <v>0.51</v>
      </c>
      <c r="E51" s="29">
        <v>0.51</v>
      </c>
      <c r="F51" s="29">
        <v>0.51</v>
      </c>
      <c r="G51" s="29">
        <v>0.51</v>
      </c>
      <c r="H51" s="29">
        <v>20</v>
      </c>
      <c r="I51" s="30"/>
      <c r="J51" s="30"/>
      <c r="K51" s="30"/>
      <c r="L51" s="30" t="s">
        <v>448</v>
      </c>
      <c r="M51" s="32" t="s">
        <v>273</v>
      </c>
      <c r="N51" s="29">
        <v>5</v>
      </c>
      <c r="O51" s="30" t="s">
        <v>55</v>
      </c>
      <c r="P51" s="29">
        <f t="shared" si="3"/>
        <v>0.51</v>
      </c>
      <c r="Q51" s="29">
        <f t="shared" si="4"/>
        <v>49</v>
      </c>
      <c r="R51" s="30" t="s">
        <v>54</v>
      </c>
      <c r="S51" s="30" t="s">
        <v>426</v>
      </c>
      <c r="T51" s="30" t="s">
        <v>313</v>
      </c>
      <c r="U51" s="29">
        <v>1336</v>
      </c>
      <c r="V51" s="29">
        <v>13240</v>
      </c>
      <c r="W51" s="29">
        <f t="shared" si="5"/>
        <v>7288</v>
      </c>
      <c r="X51" s="30" t="s">
        <v>248</v>
      </c>
      <c r="Y51" s="30" t="s">
        <v>247</v>
      </c>
      <c r="Z51" s="30" t="s">
        <v>250</v>
      </c>
      <c r="AA51" s="30" t="s">
        <v>297</v>
      </c>
      <c r="AB51" s="30" t="s">
        <v>252</v>
      </c>
      <c r="AC51" s="30" t="s">
        <v>427</v>
      </c>
      <c r="AD51" s="9" t="s">
        <v>112</v>
      </c>
      <c r="AE51" s="9" t="s">
        <v>261</v>
      </c>
      <c r="AF51" s="9" t="s">
        <v>428</v>
      </c>
      <c r="AG51" s="9" t="s">
        <v>446</v>
      </c>
      <c r="AH51" s="9" t="s">
        <v>112</v>
      </c>
    </row>
    <row r="52" spans="1:34" ht="34.5" customHeight="1" x14ac:dyDescent="0.25">
      <c r="A52" s="35" t="s">
        <v>449</v>
      </c>
      <c r="B52" s="36" t="s">
        <v>144</v>
      </c>
      <c r="C52" s="29">
        <v>0.53</v>
      </c>
      <c r="D52" s="29">
        <v>0.53</v>
      </c>
      <c r="E52" s="29">
        <v>0.53</v>
      </c>
      <c r="F52" s="29">
        <v>0.53</v>
      </c>
      <c r="G52" s="29">
        <v>0.53</v>
      </c>
      <c r="H52" s="29">
        <v>20</v>
      </c>
      <c r="I52" s="30"/>
      <c r="J52" s="30"/>
      <c r="K52" s="30"/>
      <c r="L52" s="30" t="s">
        <v>450</v>
      </c>
      <c r="M52" s="32" t="s">
        <v>273</v>
      </c>
      <c r="N52" s="29">
        <v>5</v>
      </c>
      <c r="O52" s="30" t="s">
        <v>55</v>
      </c>
      <c r="P52" s="29">
        <f t="shared" si="3"/>
        <v>0.53</v>
      </c>
      <c r="Q52" s="29">
        <f t="shared" si="4"/>
        <v>47</v>
      </c>
      <c r="R52" s="30" t="s">
        <v>54</v>
      </c>
      <c r="S52" s="30" t="s">
        <v>426</v>
      </c>
      <c r="T52" s="30" t="s">
        <v>313</v>
      </c>
      <c r="U52" s="29">
        <v>574</v>
      </c>
      <c r="V52" s="29">
        <v>20784</v>
      </c>
      <c r="W52" s="29">
        <f t="shared" si="5"/>
        <v>10679</v>
      </c>
      <c r="X52" s="30" t="s">
        <v>248</v>
      </c>
      <c r="Y52" s="30" t="s">
        <v>247</v>
      </c>
      <c r="Z52" s="30" t="s">
        <v>250</v>
      </c>
      <c r="AA52" s="30" t="s">
        <v>297</v>
      </c>
      <c r="AB52" s="30" t="s">
        <v>252</v>
      </c>
      <c r="AC52" s="30" t="s">
        <v>427</v>
      </c>
      <c r="AD52" s="9" t="s">
        <v>112</v>
      </c>
      <c r="AE52" s="9" t="s">
        <v>261</v>
      </c>
      <c r="AF52" s="9" t="s">
        <v>428</v>
      </c>
      <c r="AG52" s="9" t="s">
        <v>451</v>
      </c>
      <c r="AH52" s="9" t="s">
        <v>112</v>
      </c>
    </row>
    <row r="53" spans="1:34" ht="45.75" customHeight="1" x14ac:dyDescent="0.25">
      <c r="A53" s="35" t="s">
        <v>452</v>
      </c>
      <c r="B53" s="36" t="s">
        <v>151</v>
      </c>
      <c r="C53" s="29">
        <v>0.55800000000000005</v>
      </c>
      <c r="D53" s="29">
        <v>0.55800000000000005</v>
      </c>
      <c r="E53" s="29">
        <v>0.55800000000000005</v>
      </c>
      <c r="F53" s="29">
        <v>0.55800000000000005</v>
      </c>
      <c r="G53" s="29">
        <v>0.55800000000000005</v>
      </c>
      <c r="H53" s="29">
        <v>20</v>
      </c>
      <c r="I53" s="30"/>
      <c r="J53" s="30"/>
      <c r="K53" s="30"/>
      <c r="L53" s="30" t="s">
        <v>453</v>
      </c>
      <c r="M53" s="32" t="s">
        <v>273</v>
      </c>
      <c r="N53" s="29">
        <v>5</v>
      </c>
      <c r="O53" s="30" t="s">
        <v>55</v>
      </c>
      <c r="P53" s="29">
        <f t="shared" si="3"/>
        <v>0.55800000000000005</v>
      </c>
      <c r="Q53" s="29">
        <f t="shared" si="4"/>
        <v>44.2</v>
      </c>
      <c r="R53" s="30" t="s">
        <v>245</v>
      </c>
      <c r="S53" s="30" t="s">
        <v>54</v>
      </c>
      <c r="T53" s="30" t="s">
        <v>265</v>
      </c>
      <c r="U53" s="29">
        <v>154</v>
      </c>
      <c r="V53" s="29">
        <v>15848</v>
      </c>
      <c r="W53" s="29">
        <f t="shared" si="5"/>
        <v>8001</v>
      </c>
      <c r="X53" s="30" t="s">
        <v>248</v>
      </c>
      <c r="Y53" s="30" t="s">
        <v>247</v>
      </c>
      <c r="Z53" s="30" t="s">
        <v>250</v>
      </c>
      <c r="AA53" s="30" t="s">
        <v>297</v>
      </c>
      <c r="AB53" s="30" t="s">
        <v>252</v>
      </c>
      <c r="AC53" s="30" t="s">
        <v>454</v>
      </c>
      <c r="AD53" s="9" t="s">
        <v>112</v>
      </c>
      <c r="AE53" s="9" t="s">
        <v>254</v>
      </c>
      <c r="AF53" s="9" t="s">
        <v>199</v>
      </c>
      <c r="AG53" s="9" t="s">
        <v>455</v>
      </c>
      <c r="AH53" s="9" t="s">
        <v>112</v>
      </c>
    </row>
    <row r="54" spans="1:34" ht="34.5" customHeight="1" x14ac:dyDescent="0.25">
      <c r="A54" s="35" t="s">
        <v>437</v>
      </c>
      <c r="B54" s="36" t="s">
        <v>151</v>
      </c>
      <c r="C54" s="29">
        <v>0.57999999999999996</v>
      </c>
      <c r="D54" s="29">
        <v>0.57999999999999996</v>
      </c>
      <c r="E54" s="29">
        <v>0.57999999999999996</v>
      </c>
      <c r="F54" s="29">
        <v>0.57999999999999996</v>
      </c>
      <c r="G54" s="29">
        <v>0.57999999999999996</v>
      </c>
      <c r="H54" s="29">
        <v>20</v>
      </c>
      <c r="I54" s="30"/>
      <c r="J54" s="30"/>
      <c r="K54" s="30"/>
      <c r="L54" s="30" t="s">
        <v>456</v>
      </c>
      <c r="M54" s="32" t="s">
        <v>273</v>
      </c>
      <c r="N54" s="29">
        <v>5</v>
      </c>
      <c r="O54" s="30" t="s">
        <v>55</v>
      </c>
      <c r="P54" s="29">
        <f t="shared" si="3"/>
        <v>0.57999999999999996</v>
      </c>
      <c r="Q54" s="29">
        <f t="shared" si="4"/>
        <v>42</v>
      </c>
      <c r="R54" s="30" t="s">
        <v>54</v>
      </c>
      <c r="S54" s="30" t="s">
        <v>457</v>
      </c>
      <c r="T54" s="30" t="s">
        <v>246</v>
      </c>
      <c r="U54" s="29">
        <v>6777</v>
      </c>
      <c r="V54" s="29">
        <v>37112</v>
      </c>
      <c r="W54" s="29">
        <f t="shared" si="5"/>
        <v>21945</v>
      </c>
      <c r="X54" s="30" t="s">
        <v>248</v>
      </c>
      <c r="Y54" s="30" t="s">
        <v>247</v>
      </c>
      <c r="Z54" s="30" t="s">
        <v>250</v>
      </c>
      <c r="AA54" s="30" t="s">
        <v>458</v>
      </c>
      <c r="AB54" s="30" t="s">
        <v>252</v>
      </c>
      <c r="AC54" s="30" t="s">
        <v>434</v>
      </c>
      <c r="AD54" s="9" t="s">
        <v>112</v>
      </c>
      <c r="AE54" s="9" t="s">
        <v>261</v>
      </c>
      <c r="AF54" s="9" t="s">
        <v>459</v>
      </c>
      <c r="AG54" s="9" t="s">
        <v>460</v>
      </c>
      <c r="AH54" s="9" t="s">
        <v>112</v>
      </c>
    </row>
    <row r="55" spans="1:34" ht="90.75" customHeight="1" x14ac:dyDescent="0.25">
      <c r="A55" s="35" t="s">
        <v>461</v>
      </c>
      <c r="B55" s="36" t="s">
        <v>155</v>
      </c>
      <c r="C55" s="29">
        <v>0.03</v>
      </c>
      <c r="D55" s="29">
        <v>0.03</v>
      </c>
      <c r="E55" s="29">
        <v>0.03</v>
      </c>
      <c r="F55" s="29">
        <v>0.03</v>
      </c>
      <c r="G55" s="29">
        <v>0.03</v>
      </c>
      <c r="H55" s="29">
        <v>20</v>
      </c>
      <c r="I55" s="30"/>
      <c r="J55" s="30"/>
      <c r="K55" s="30"/>
      <c r="L55" s="30" t="s">
        <v>462</v>
      </c>
      <c r="M55" s="31" t="s">
        <v>244</v>
      </c>
      <c r="N55" s="29">
        <v>3</v>
      </c>
      <c r="O55" s="30" t="s">
        <v>55</v>
      </c>
      <c r="P55" s="29">
        <f t="shared" si="3"/>
        <v>0.03</v>
      </c>
      <c r="Q55" s="29">
        <f t="shared" si="4"/>
        <v>97</v>
      </c>
      <c r="R55" s="30" t="s">
        <v>54</v>
      </c>
      <c r="S55" s="30" t="s">
        <v>463</v>
      </c>
      <c r="T55" s="30" t="s">
        <v>246</v>
      </c>
      <c r="U55" s="29" t="s">
        <v>247</v>
      </c>
      <c r="V55" s="29" t="s">
        <v>247</v>
      </c>
      <c r="W55" s="29" t="str">
        <f t="shared" si="5"/>
        <v>NR</v>
      </c>
      <c r="X55" s="30" t="s">
        <v>248</v>
      </c>
      <c r="Y55" s="30" t="s">
        <v>247</v>
      </c>
      <c r="Z55" s="30" t="s">
        <v>250</v>
      </c>
      <c r="AA55" s="30" t="s">
        <v>281</v>
      </c>
      <c r="AB55" s="30" t="s">
        <v>252</v>
      </c>
      <c r="AC55" s="30" t="s">
        <v>758</v>
      </c>
      <c r="AD55" s="9" t="s">
        <v>112</v>
      </c>
      <c r="AE55" s="9" t="s">
        <v>261</v>
      </c>
      <c r="AF55" s="9" t="s">
        <v>464</v>
      </c>
      <c r="AG55" s="9" t="s">
        <v>255</v>
      </c>
      <c r="AH55" s="9" t="s">
        <v>112</v>
      </c>
    </row>
    <row r="56" spans="1:34" ht="45.75" customHeight="1" x14ac:dyDescent="0.25">
      <c r="A56" s="35" t="s">
        <v>465</v>
      </c>
      <c r="B56" s="36" t="s">
        <v>155</v>
      </c>
      <c r="C56" s="29">
        <v>0.47</v>
      </c>
      <c r="D56" s="29">
        <v>0.47</v>
      </c>
      <c r="E56" s="29">
        <v>0.47</v>
      </c>
      <c r="F56" s="29">
        <v>0.47</v>
      </c>
      <c r="G56" s="29">
        <v>0.47</v>
      </c>
      <c r="H56" s="29">
        <v>20</v>
      </c>
      <c r="I56" s="30"/>
      <c r="J56" s="30"/>
      <c r="K56" s="30"/>
      <c r="L56" s="30" t="s">
        <v>466</v>
      </c>
      <c r="M56" s="32" t="s">
        <v>273</v>
      </c>
      <c r="N56" s="29">
        <v>4</v>
      </c>
      <c r="O56" s="30" t="s">
        <v>248</v>
      </c>
      <c r="P56" s="29">
        <f t="shared" si="3"/>
        <v>0.47</v>
      </c>
      <c r="Q56" s="29">
        <f t="shared" si="4"/>
        <v>53</v>
      </c>
      <c r="R56" s="30" t="s">
        <v>467</v>
      </c>
      <c r="S56" s="30" t="s">
        <v>442</v>
      </c>
      <c r="T56" s="30" t="s">
        <v>246</v>
      </c>
      <c r="U56" s="29">
        <v>1508</v>
      </c>
      <c r="V56" s="29">
        <v>99850</v>
      </c>
      <c r="W56" s="29">
        <f t="shared" si="5"/>
        <v>50679</v>
      </c>
      <c r="X56" s="30" t="s">
        <v>248</v>
      </c>
      <c r="Y56" s="30" t="s">
        <v>247</v>
      </c>
      <c r="Z56" s="30" t="s">
        <v>250</v>
      </c>
      <c r="AA56" s="30" t="s">
        <v>251</v>
      </c>
      <c r="AB56" s="30" t="s">
        <v>252</v>
      </c>
      <c r="AC56" s="30" t="s">
        <v>759</v>
      </c>
      <c r="AD56" s="9" t="s">
        <v>112</v>
      </c>
      <c r="AE56" s="9" t="s">
        <v>254</v>
      </c>
      <c r="AF56" s="9" t="s">
        <v>444</v>
      </c>
      <c r="AG56" s="9" t="s">
        <v>468</v>
      </c>
      <c r="AH56" s="9" t="s">
        <v>112</v>
      </c>
    </row>
    <row r="57" spans="1:34" ht="15" customHeight="1" x14ac:dyDescent="0.25">
      <c r="A57" s="35" t="s">
        <v>469</v>
      </c>
      <c r="B57" s="36" t="s">
        <v>160</v>
      </c>
      <c r="C57" s="29">
        <v>0.92</v>
      </c>
      <c r="D57" s="29">
        <v>0.92</v>
      </c>
      <c r="E57" s="29">
        <v>0.92</v>
      </c>
      <c r="F57" s="29">
        <v>0.92</v>
      </c>
      <c r="G57" s="29">
        <v>0.92</v>
      </c>
      <c r="H57" s="29">
        <v>20</v>
      </c>
      <c r="I57" s="30"/>
      <c r="J57" s="30"/>
      <c r="K57" s="30"/>
      <c r="L57" s="30" t="s">
        <v>470</v>
      </c>
      <c r="M57" s="31" t="s">
        <v>244</v>
      </c>
      <c r="N57" s="29" t="s">
        <v>247</v>
      </c>
      <c r="O57" s="30" t="s">
        <v>55</v>
      </c>
      <c r="P57" s="29">
        <f t="shared" si="3"/>
        <v>0.92</v>
      </c>
      <c r="Q57" s="29">
        <f t="shared" si="4"/>
        <v>8</v>
      </c>
      <c r="R57" s="30" t="s">
        <v>265</v>
      </c>
      <c r="S57" s="30" t="s">
        <v>285</v>
      </c>
      <c r="T57" s="30" t="s">
        <v>359</v>
      </c>
      <c r="U57" s="29" t="s">
        <v>247</v>
      </c>
      <c r="V57" s="29" t="s">
        <v>247</v>
      </c>
      <c r="W57" s="29" t="str">
        <f t="shared" si="5"/>
        <v>NR</v>
      </c>
      <c r="X57" s="30" t="s">
        <v>248</v>
      </c>
      <c r="Y57" s="30" t="s">
        <v>247</v>
      </c>
      <c r="Z57" s="30" t="s">
        <v>471</v>
      </c>
      <c r="AA57" s="30" t="s">
        <v>472</v>
      </c>
      <c r="AB57" s="30" t="s">
        <v>473</v>
      </c>
      <c r="AC57" s="30" t="s">
        <v>474</v>
      </c>
      <c r="AD57" s="9" t="s">
        <v>112</v>
      </c>
      <c r="AE57" s="9" t="s">
        <v>248</v>
      </c>
      <c r="AF57" s="9" t="s">
        <v>286</v>
      </c>
      <c r="AG57" s="9" t="s">
        <v>262</v>
      </c>
      <c r="AH57" s="9" t="s">
        <v>112</v>
      </c>
    </row>
    <row r="58" spans="1:34" ht="15" customHeight="1" x14ac:dyDescent="0.25">
      <c r="A58" s="35" t="s">
        <v>475</v>
      </c>
      <c r="B58" s="36" t="s">
        <v>160</v>
      </c>
      <c r="C58" s="29">
        <v>0.88</v>
      </c>
      <c r="D58" s="29">
        <v>0.88</v>
      </c>
      <c r="E58" s="29">
        <v>0.88</v>
      </c>
      <c r="F58" s="29">
        <v>0.88</v>
      </c>
      <c r="G58" s="29">
        <v>0.88</v>
      </c>
      <c r="H58" s="29">
        <v>20</v>
      </c>
      <c r="I58" s="30"/>
      <c r="J58" s="30"/>
      <c r="K58" s="30"/>
      <c r="L58" s="30" t="s">
        <v>476</v>
      </c>
      <c r="M58" s="31" t="s">
        <v>244</v>
      </c>
      <c r="N58" s="29" t="s">
        <v>247</v>
      </c>
      <c r="O58" s="30" t="s">
        <v>55</v>
      </c>
      <c r="P58" s="29">
        <f t="shared" si="3"/>
        <v>0.88</v>
      </c>
      <c r="Q58" s="29">
        <f t="shared" si="4"/>
        <v>12</v>
      </c>
      <c r="R58" s="30" t="s">
        <v>265</v>
      </c>
      <c r="S58" s="30" t="s">
        <v>285</v>
      </c>
      <c r="T58" s="30" t="s">
        <v>359</v>
      </c>
      <c r="U58" s="29" t="s">
        <v>247</v>
      </c>
      <c r="V58" s="29" t="s">
        <v>247</v>
      </c>
      <c r="W58" s="29" t="str">
        <f t="shared" si="5"/>
        <v>NR</v>
      </c>
      <c r="X58" s="30" t="s">
        <v>248</v>
      </c>
      <c r="Y58" s="30" t="s">
        <v>247</v>
      </c>
      <c r="Z58" s="30" t="s">
        <v>471</v>
      </c>
      <c r="AA58" s="30" t="s">
        <v>472</v>
      </c>
      <c r="AB58" s="30" t="s">
        <v>473</v>
      </c>
      <c r="AC58" s="30" t="s">
        <v>474</v>
      </c>
      <c r="AD58" s="9" t="s">
        <v>112</v>
      </c>
      <c r="AE58" s="9" t="s">
        <v>248</v>
      </c>
      <c r="AF58" s="9" t="s">
        <v>286</v>
      </c>
      <c r="AG58" s="9" t="s">
        <v>262</v>
      </c>
      <c r="AH58" s="9" t="s">
        <v>112</v>
      </c>
    </row>
    <row r="59" spans="1:34" ht="45.75" customHeight="1" x14ac:dyDescent="0.25">
      <c r="A59" s="35" t="s">
        <v>477</v>
      </c>
      <c r="B59" s="36" t="s">
        <v>160</v>
      </c>
      <c r="C59" s="29">
        <v>0.85799999999999998</v>
      </c>
      <c r="D59" s="29">
        <v>0.85799999999999998</v>
      </c>
      <c r="E59" s="29">
        <v>0.85799999999999998</v>
      </c>
      <c r="F59" s="29">
        <v>0.85799999999999998</v>
      </c>
      <c r="G59" s="29">
        <v>0.85799999999999998</v>
      </c>
      <c r="H59" s="29">
        <v>20</v>
      </c>
      <c r="I59" s="30"/>
      <c r="J59" s="30"/>
      <c r="K59" s="30"/>
      <c r="L59" s="30" t="s">
        <v>478</v>
      </c>
      <c r="M59" s="32" t="s">
        <v>273</v>
      </c>
      <c r="N59" s="29">
        <v>4</v>
      </c>
      <c r="O59" s="30" t="s">
        <v>55</v>
      </c>
      <c r="P59" s="29">
        <f t="shared" si="3"/>
        <v>0.85799999999999998</v>
      </c>
      <c r="Q59" s="29">
        <f t="shared" si="4"/>
        <v>14.2</v>
      </c>
      <c r="R59" s="30" t="s">
        <v>245</v>
      </c>
      <c r="S59" s="30" t="s">
        <v>442</v>
      </c>
      <c r="T59" s="30" t="s">
        <v>246</v>
      </c>
      <c r="U59" s="29" t="s">
        <v>247</v>
      </c>
      <c r="V59" s="29" t="s">
        <v>247</v>
      </c>
      <c r="W59" s="29" t="str">
        <f t="shared" si="5"/>
        <v>NR</v>
      </c>
      <c r="X59" s="30" t="s">
        <v>248</v>
      </c>
      <c r="Y59" s="30" t="s">
        <v>247</v>
      </c>
      <c r="Z59" s="30" t="s">
        <v>250</v>
      </c>
      <c r="AA59" s="30" t="s">
        <v>307</v>
      </c>
      <c r="AB59" s="30" t="s">
        <v>269</v>
      </c>
      <c r="AC59" s="30" t="s">
        <v>479</v>
      </c>
      <c r="AD59" s="9" t="s">
        <v>112</v>
      </c>
      <c r="AE59" s="9" t="s">
        <v>254</v>
      </c>
      <c r="AF59" s="9" t="s">
        <v>444</v>
      </c>
      <c r="AG59" s="9" t="s">
        <v>255</v>
      </c>
      <c r="AH59" s="9" t="s">
        <v>112</v>
      </c>
    </row>
    <row r="60" spans="1:34" ht="79.5" customHeight="1" x14ac:dyDescent="0.25">
      <c r="A60" s="35" t="s">
        <v>480</v>
      </c>
      <c r="B60" s="36" t="s">
        <v>165</v>
      </c>
      <c r="C60" s="29">
        <v>0.53</v>
      </c>
      <c r="D60" s="29">
        <v>0.53</v>
      </c>
      <c r="E60" s="29">
        <v>0.53</v>
      </c>
      <c r="F60" s="29">
        <v>0.53</v>
      </c>
      <c r="G60" s="29">
        <v>0.53</v>
      </c>
      <c r="H60" s="29">
        <v>20</v>
      </c>
      <c r="I60" s="30"/>
      <c r="J60" s="30"/>
      <c r="K60" s="30"/>
      <c r="L60" s="30" t="s">
        <v>481</v>
      </c>
      <c r="M60" s="32" t="s">
        <v>273</v>
      </c>
      <c r="N60" s="29">
        <v>4</v>
      </c>
      <c r="O60" s="30" t="s">
        <v>265</v>
      </c>
      <c r="P60" s="29">
        <f t="shared" si="3"/>
        <v>0.53</v>
      </c>
      <c r="Q60" s="29">
        <f t="shared" si="4"/>
        <v>47</v>
      </c>
      <c r="R60" s="30" t="s">
        <v>467</v>
      </c>
      <c r="S60" s="30" t="s">
        <v>482</v>
      </c>
      <c r="T60" s="30" t="s">
        <v>246</v>
      </c>
      <c r="U60" s="29">
        <v>35000</v>
      </c>
      <c r="V60" s="29">
        <v>104600</v>
      </c>
      <c r="W60" s="29">
        <f t="shared" si="5"/>
        <v>69800</v>
      </c>
      <c r="X60" s="30" t="s">
        <v>248</v>
      </c>
      <c r="Y60" s="30" t="s">
        <v>483</v>
      </c>
      <c r="Z60" s="30" t="s">
        <v>250</v>
      </c>
      <c r="AA60" s="30" t="s">
        <v>345</v>
      </c>
      <c r="AB60" s="30" t="s">
        <v>252</v>
      </c>
      <c r="AC60" s="30" t="s">
        <v>747</v>
      </c>
      <c r="AD60" s="9" t="s">
        <v>112</v>
      </c>
      <c r="AE60" s="9" t="s">
        <v>254</v>
      </c>
      <c r="AF60" s="9" t="s">
        <v>484</v>
      </c>
      <c r="AG60" s="9" t="s">
        <v>485</v>
      </c>
      <c r="AH60" s="9" t="s">
        <v>112</v>
      </c>
    </row>
    <row r="61" spans="1:34" ht="79.5" customHeight="1" x14ac:dyDescent="0.25">
      <c r="A61" s="35" t="s">
        <v>486</v>
      </c>
      <c r="B61" s="36" t="s">
        <v>165</v>
      </c>
      <c r="C61" s="29">
        <v>0.6</v>
      </c>
      <c r="D61" s="29">
        <v>0.6</v>
      </c>
      <c r="E61" s="29">
        <v>0.6</v>
      </c>
      <c r="F61" s="29">
        <v>0.6</v>
      </c>
      <c r="G61" s="29">
        <v>0.6</v>
      </c>
      <c r="H61" s="29">
        <v>20</v>
      </c>
      <c r="I61" s="30"/>
      <c r="J61" s="30"/>
      <c r="K61" s="30"/>
      <c r="L61" s="30" t="s">
        <v>487</v>
      </c>
      <c r="M61" s="32" t="s">
        <v>273</v>
      </c>
      <c r="N61" s="29">
        <v>4</v>
      </c>
      <c r="O61" s="30" t="s">
        <v>265</v>
      </c>
      <c r="P61" s="29">
        <f t="shared" si="3"/>
        <v>0.6</v>
      </c>
      <c r="Q61" s="29">
        <f t="shared" si="4"/>
        <v>40</v>
      </c>
      <c r="R61" s="30" t="s">
        <v>488</v>
      </c>
      <c r="S61" s="30" t="s">
        <v>482</v>
      </c>
      <c r="T61" s="30" t="s">
        <v>246</v>
      </c>
      <c r="U61" s="29">
        <v>35000</v>
      </c>
      <c r="V61" s="29">
        <v>104600</v>
      </c>
      <c r="W61" s="29">
        <f t="shared" si="5"/>
        <v>69800</v>
      </c>
      <c r="X61" s="30" t="s">
        <v>248</v>
      </c>
      <c r="Y61" s="30" t="s">
        <v>483</v>
      </c>
      <c r="Z61" s="30" t="s">
        <v>250</v>
      </c>
      <c r="AA61" s="30" t="s">
        <v>345</v>
      </c>
      <c r="AB61" s="30" t="s">
        <v>252</v>
      </c>
      <c r="AC61" s="30" t="s">
        <v>747</v>
      </c>
      <c r="AD61" s="9" t="s">
        <v>112</v>
      </c>
      <c r="AE61" s="9" t="s">
        <v>254</v>
      </c>
      <c r="AF61" s="9" t="s">
        <v>484</v>
      </c>
      <c r="AG61" s="9" t="s">
        <v>485</v>
      </c>
      <c r="AH61" s="9" t="s">
        <v>112</v>
      </c>
    </row>
    <row r="62" spans="1:34" ht="34.5" customHeight="1" x14ac:dyDescent="0.25">
      <c r="A62" s="35" t="s">
        <v>489</v>
      </c>
      <c r="B62" s="36" t="s">
        <v>167</v>
      </c>
      <c r="C62" s="29">
        <v>0.89200000000000002</v>
      </c>
      <c r="D62" s="29">
        <v>0.89200000000000002</v>
      </c>
      <c r="E62" s="29">
        <v>0.89200000000000002</v>
      </c>
      <c r="F62" s="29">
        <v>0.89200000000000002</v>
      </c>
      <c r="G62" s="29">
        <v>0.89200000000000002</v>
      </c>
      <c r="H62" s="29">
        <v>20</v>
      </c>
      <c r="I62" s="30"/>
      <c r="J62" s="30"/>
      <c r="K62" s="30"/>
      <c r="L62" s="30" t="s">
        <v>490</v>
      </c>
      <c r="M62" s="31" t="s">
        <v>244</v>
      </c>
      <c r="N62" s="29">
        <v>5</v>
      </c>
      <c r="O62" s="30" t="s">
        <v>55</v>
      </c>
      <c r="P62" s="29">
        <f t="shared" si="3"/>
        <v>0.89200000000000002</v>
      </c>
      <c r="Q62" s="29">
        <f t="shared" si="4"/>
        <v>10.8</v>
      </c>
      <c r="R62" s="30" t="s">
        <v>488</v>
      </c>
      <c r="S62" s="30" t="s">
        <v>54</v>
      </c>
      <c r="T62" s="30" t="s">
        <v>259</v>
      </c>
      <c r="U62" s="29">
        <v>10</v>
      </c>
      <c r="V62" s="29">
        <v>18600</v>
      </c>
      <c r="W62" s="29">
        <f t="shared" si="5"/>
        <v>9305</v>
      </c>
      <c r="X62" s="30" t="s">
        <v>248</v>
      </c>
      <c r="Y62" s="30" t="s">
        <v>247</v>
      </c>
      <c r="Z62" s="30" t="s">
        <v>250</v>
      </c>
      <c r="AA62" s="30" t="s">
        <v>345</v>
      </c>
      <c r="AB62" s="30" t="s">
        <v>252</v>
      </c>
      <c r="AC62" s="30" t="s">
        <v>491</v>
      </c>
      <c r="AD62" s="9" t="s">
        <v>112</v>
      </c>
      <c r="AE62" s="9" t="s">
        <v>254</v>
      </c>
      <c r="AF62" s="9" t="s">
        <v>199</v>
      </c>
      <c r="AG62" s="9" t="s">
        <v>492</v>
      </c>
      <c r="AH62" s="9" t="s">
        <v>112</v>
      </c>
    </row>
    <row r="63" spans="1:34" ht="34.5" customHeight="1" x14ac:dyDescent="0.25">
      <c r="A63" s="35" t="s">
        <v>489</v>
      </c>
      <c r="B63" s="36" t="s">
        <v>167</v>
      </c>
      <c r="C63" s="29">
        <v>0.64300000000000002</v>
      </c>
      <c r="D63" s="29">
        <v>0.64300000000000002</v>
      </c>
      <c r="E63" s="29">
        <v>0.64300000000000002</v>
      </c>
      <c r="F63" s="29">
        <v>0.64300000000000002</v>
      </c>
      <c r="G63" s="29">
        <v>0.64300000000000002</v>
      </c>
      <c r="H63" s="29">
        <v>20</v>
      </c>
      <c r="I63" s="30"/>
      <c r="J63" s="30"/>
      <c r="K63" s="30"/>
      <c r="L63" s="30" t="s">
        <v>493</v>
      </c>
      <c r="M63" s="32" t="s">
        <v>273</v>
      </c>
      <c r="N63" s="29">
        <v>5</v>
      </c>
      <c r="O63" s="30" t="s">
        <v>55</v>
      </c>
      <c r="P63" s="29">
        <f t="shared" si="3"/>
        <v>0.64300000000000002</v>
      </c>
      <c r="Q63" s="29">
        <f t="shared" si="4"/>
        <v>35.700000000000003</v>
      </c>
      <c r="R63" s="30" t="s">
        <v>54</v>
      </c>
      <c r="S63" s="30" t="s">
        <v>432</v>
      </c>
      <c r="T63" s="30" t="s">
        <v>265</v>
      </c>
      <c r="U63" s="29" t="s">
        <v>247</v>
      </c>
      <c r="V63" s="29" t="s">
        <v>247</v>
      </c>
      <c r="W63" s="29" t="str">
        <f t="shared" si="5"/>
        <v>NR</v>
      </c>
      <c r="X63" s="30" t="s">
        <v>248</v>
      </c>
      <c r="Y63" s="30" t="s">
        <v>247</v>
      </c>
      <c r="Z63" s="30" t="s">
        <v>250</v>
      </c>
      <c r="AA63" s="30" t="s">
        <v>297</v>
      </c>
      <c r="AB63" s="30" t="s">
        <v>252</v>
      </c>
      <c r="AC63" s="30" t="s">
        <v>494</v>
      </c>
      <c r="AD63" s="9" t="s">
        <v>112</v>
      </c>
      <c r="AE63" s="9" t="s">
        <v>261</v>
      </c>
      <c r="AF63" s="9" t="s">
        <v>435</v>
      </c>
      <c r="AG63" s="9" t="s">
        <v>262</v>
      </c>
      <c r="AH63" s="9" t="s">
        <v>112</v>
      </c>
    </row>
    <row r="64" spans="1:34" ht="45.75" customHeight="1" x14ac:dyDescent="0.25">
      <c r="A64" s="35" t="s">
        <v>495</v>
      </c>
      <c r="B64" s="36" t="s">
        <v>170</v>
      </c>
      <c r="C64" s="29">
        <v>0.63500000000000001</v>
      </c>
      <c r="D64" s="29">
        <v>0.63500000000000001</v>
      </c>
      <c r="E64" s="29">
        <v>0.63500000000000001</v>
      </c>
      <c r="F64" s="29">
        <v>0.63500000000000001</v>
      </c>
      <c r="G64" s="29">
        <v>0.63500000000000001</v>
      </c>
      <c r="H64" s="29">
        <v>20</v>
      </c>
      <c r="I64" s="30"/>
      <c r="J64" s="30"/>
      <c r="K64" s="30"/>
      <c r="L64" s="30" t="s">
        <v>496</v>
      </c>
      <c r="M64" s="31" t="s">
        <v>244</v>
      </c>
      <c r="N64" s="29">
        <v>4</v>
      </c>
      <c r="O64" s="30" t="s">
        <v>55</v>
      </c>
      <c r="P64" s="29">
        <f t="shared" si="3"/>
        <v>0.63500000000000001</v>
      </c>
      <c r="Q64" s="29">
        <f t="shared" si="4"/>
        <v>36.5</v>
      </c>
      <c r="R64" s="30" t="s">
        <v>245</v>
      </c>
      <c r="S64" s="30" t="s">
        <v>54</v>
      </c>
      <c r="T64" s="30" t="s">
        <v>265</v>
      </c>
      <c r="U64" s="29" t="s">
        <v>247</v>
      </c>
      <c r="V64" s="29" t="s">
        <v>247</v>
      </c>
      <c r="W64" s="29" t="str">
        <f t="shared" si="5"/>
        <v>NR</v>
      </c>
      <c r="X64" s="30" t="s">
        <v>248</v>
      </c>
      <c r="Y64" s="30" t="s">
        <v>247</v>
      </c>
      <c r="Z64" s="30" t="s">
        <v>250</v>
      </c>
      <c r="AA64" s="30" t="s">
        <v>297</v>
      </c>
      <c r="AB64" s="30" t="s">
        <v>252</v>
      </c>
      <c r="AC64" s="30" t="s">
        <v>497</v>
      </c>
      <c r="AD64" s="9" t="s">
        <v>112</v>
      </c>
      <c r="AE64" s="9" t="s">
        <v>254</v>
      </c>
      <c r="AF64" s="9" t="s">
        <v>199</v>
      </c>
      <c r="AG64" s="9" t="s">
        <v>262</v>
      </c>
      <c r="AH64" s="9" t="s">
        <v>112</v>
      </c>
    </row>
    <row r="65" spans="1:34" ht="45.75" customHeight="1" x14ac:dyDescent="0.25">
      <c r="A65" s="35" t="s">
        <v>498</v>
      </c>
      <c r="B65" s="36" t="s">
        <v>170</v>
      </c>
      <c r="C65" s="29">
        <v>0.72499999999999998</v>
      </c>
      <c r="D65" s="29">
        <v>0.72499999999999998</v>
      </c>
      <c r="E65" s="29">
        <v>0.72499999999999998</v>
      </c>
      <c r="F65" s="29">
        <v>0.72499999999999998</v>
      </c>
      <c r="G65" s="29">
        <v>0.72499999999999998</v>
      </c>
      <c r="H65" s="29">
        <v>20</v>
      </c>
      <c r="I65" s="30"/>
      <c r="J65" s="30"/>
      <c r="K65" s="30"/>
      <c r="L65" s="30" t="s">
        <v>499</v>
      </c>
      <c r="M65" s="32" t="s">
        <v>273</v>
      </c>
      <c r="N65" s="29">
        <v>5</v>
      </c>
      <c r="O65" s="30" t="s">
        <v>55</v>
      </c>
      <c r="P65" s="29">
        <f t="shared" si="3"/>
        <v>0.72499999999999998</v>
      </c>
      <c r="Q65" s="29">
        <f t="shared" si="4"/>
        <v>27.5</v>
      </c>
      <c r="R65" s="30" t="s">
        <v>54</v>
      </c>
      <c r="S65" s="30" t="s">
        <v>54</v>
      </c>
      <c r="T65" s="30" t="s">
        <v>54</v>
      </c>
      <c r="U65" s="29" t="s">
        <v>247</v>
      </c>
      <c r="V65" s="29" t="s">
        <v>247</v>
      </c>
      <c r="W65" s="29" t="str">
        <f t="shared" si="5"/>
        <v>NR</v>
      </c>
      <c r="X65" s="30" t="s">
        <v>248</v>
      </c>
      <c r="Y65" s="30" t="s">
        <v>247</v>
      </c>
      <c r="Z65" s="30" t="s">
        <v>250</v>
      </c>
      <c r="AA65" s="30" t="s">
        <v>275</v>
      </c>
      <c r="AB65" s="30" t="s">
        <v>252</v>
      </c>
      <c r="AC65" s="30" t="s">
        <v>500</v>
      </c>
      <c r="AD65" s="9" t="s">
        <v>112</v>
      </c>
      <c r="AE65" s="9" t="s">
        <v>261</v>
      </c>
      <c r="AF65" s="9" t="s">
        <v>199</v>
      </c>
      <c r="AG65" s="9" t="s">
        <v>262</v>
      </c>
      <c r="AH65" s="9" t="s">
        <v>112</v>
      </c>
    </row>
    <row r="66" spans="1:34" ht="34.5" customHeight="1" x14ac:dyDescent="0.25">
      <c r="A66" s="35" t="s">
        <v>501</v>
      </c>
      <c r="B66" s="36" t="s">
        <v>170</v>
      </c>
      <c r="C66" s="29">
        <v>0.66</v>
      </c>
      <c r="D66" s="29">
        <v>0.66</v>
      </c>
      <c r="E66" s="29">
        <v>0.66</v>
      </c>
      <c r="F66" s="29">
        <v>0.66</v>
      </c>
      <c r="G66" s="29">
        <v>0.66</v>
      </c>
      <c r="H66" s="29">
        <v>20</v>
      </c>
      <c r="I66" s="30"/>
      <c r="J66" s="30"/>
      <c r="K66" s="30"/>
      <c r="L66" s="30" t="s">
        <v>502</v>
      </c>
      <c r="M66" s="32" t="s">
        <v>273</v>
      </c>
      <c r="N66" s="29">
        <v>4</v>
      </c>
      <c r="O66" s="30" t="s">
        <v>55</v>
      </c>
      <c r="P66" s="29">
        <f t="shared" si="3"/>
        <v>0.66</v>
      </c>
      <c r="Q66" s="29">
        <f t="shared" si="4"/>
        <v>34</v>
      </c>
      <c r="R66" s="30" t="s">
        <v>467</v>
      </c>
      <c r="S66" s="30" t="s">
        <v>54</v>
      </c>
      <c r="T66" s="30" t="s">
        <v>265</v>
      </c>
      <c r="U66" s="29" t="s">
        <v>247</v>
      </c>
      <c r="V66" s="29" t="s">
        <v>247</v>
      </c>
      <c r="W66" s="29" t="str">
        <f t="shared" si="5"/>
        <v>NR</v>
      </c>
      <c r="X66" s="30" t="s">
        <v>248</v>
      </c>
      <c r="Y66" s="30" t="s">
        <v>247</v>
      </c>
      <c r="Z66" s="30" t="s">
        <v>250</v>
      </c>
      <c r="AA66" s="30" t="s">
        <v>503</v>
      </c>
      <c r="AB66" s="30" t="s">
        <v>252</v>
      </c>
      <c r="AC66" s="30"/>
      <c r="AD66" s="9" t="s">
        <v>112</v>
      </c>
      <c r="AE66" s="9" t="s">
        <v>254</v>
      </c>
      <c r="AF66" s="9" t="s">
        <v>199</v>
      </c>
      <c r="AG66" s="9" t="s">
        <v>262</v>
      </c>
      <c r="AH66" s="9" t="s">
        <v>112</v>
      </c>
    </row>
    <row r="67" spans="1:34" ht="34.5" customHeight="1" x14ac:dyDescent="0.25">
      <c r="A67" s="35" t="s">
        <v>495</v>
      </c>
      <c r="B67" s="36" t="s">
        <v>170</v>
      </c>
      <c r="C67" s="29">
        <v>0.71399999999999997</v>
      </c>
      <c r="D67" s="29">
        <v>0.71399999999999997</v>
      </c>
      <c r="E67" s="29">
        <v>0.71399999999999997</v>
      </c>
      <c r="F67" s="29">
        <v>0.71399999999999997</v>
      </c>
      <c r="G67" s="29">
        <v>0.71399999999999997</v>
      </c>
      <c r="H67" s="29">
        <v>20</v>
      </c>
      <c r="I67" s="30"/>
      <c r="J67" s="30"/>
      <c r="K67" s="30"/>
      <c r="L67" s="30" t="s">
        <v>504</v>
      </c>
      <c r="M67" s="32" t="s">
        <v>273</v>
      </c>
      <c r="N67" s="29">
        <v>4</v>
      </c>
      <c r="O67" s="30" t="s">
        <v>55</v>
      </c>
      <c r="P67" s="29">
        <f t="shared" ref="P67:P98" si="6">C67</f>
        <v>0.71399999999999997</v>
      </c>
      <c r="Q67" s="29">
        <f t="shared" ref="Q67:Q98" si="7">IF(ISNUMBER(P67),ROUND((1-P67)*100,1),"NR")</f>
        <v>28.6</v>
      </c>
      <c r="R67" s="30" t="s">
        <v>54</v>
      </c>
      <c r="S67" s="30" t="s">
        <v>505</v>
      </c>
      <c r="T67" s="30" t="s">
        <v>265</v>
      </c>
      <c r="U67" s="29" t="s">
        <v>247</v>
      </c>
      <c r="V67" s="29" t="s">
        <v>247</v>
      </c>
      <c r="W67" s="29" t="str">
        <f t="shared" ref="W67:W98" si="8">IF(AND(ISNUMBER(U67),ISNUMBER(V67)),ROUND((U67+V67)/2,0),IF(ISNUMBER(U67),U67,IF(ISNUMBER(V67),V67,"NR")))</f>
        <v>NR</v>
      </c>
      <c r="X67" s="30" t="s">
        <v>248</v>
      </c>
      <c r="Y67" s="30" t="s">
        <v>247</v>
      </c>
      <c r="Z67" s="30" t="s">
        <v>250</v>
      </c>
      <c r="AA67" s="30" t="s">
        <v>297</v>
      </c>
      <c r="AB67" s="30" t="s">
        <v>252</v>
      </c>
      <c r="AC67" s="30" t="s">
        <v>497</v>
      </c>
      <c r="AD67" s="9" t="s">
        <v>112</v>
      </c>
      <c r="AE67" s="9" t="s">
        <v>261</v>
      </c>
      <c r="AF67" s="9" t="s">
        <v>506</v>
      </c>
      <c r="AG67" s="9" t="s">
        <v>262</v>
      </c>
      <c r="AH67" s="9" t="s">
        <v>112</v>
      </c>
    </row>
    <row r="68" spans="1:34" ht="45.75" customHeight="1" x14ac:dyDescent="0.25">
      <c r="A68" s="35" t="s">
        <v>507</v>
      </c>
      <c r="B68" s="36" t="s">
        <v>170</v>
      </c>
      <c r="C68" s="29">
        <v>0.78</v>
      </c>
      <c r="D68" s="29">
        <v>0.78</v>
      </c>
      <c r="E68" s="29">
        <v>0.78</v>
      </c>
      <c r="F68" s="29">
        <v>0.78</v>
      </c>
      <c r="G68" s="29">
        <v>0.78</v>
      </c>
      <c r="H68" s="29">
        <v>20</v>
      </c>
      <c r="I68" s="30"/>
      <c r="J68" s="30"/>
      <c r="K68" s="30"/>
      <c r="L68" s="30" t="s">
        <v>508</v>
      </c>
      <c r="M68" s="32" t="s">
        <v>273</v>
      </c>
      <c r="N68" s="29">
        <v>4</v>
      </c>
      <c r="O68" s="30" t="s">
        <v>55</v>
      </c>
      <c r="P68" s="29">
        <f t="shared" si="6"/>
        <v>0.78</v>
      </c>
      <c r="Q68" s="29">
        <f t="shared" si="7"/>
        <v>22</v>
      </c>
      <c r="R68" s="30" t="s">
        <v>245</v>
      </c>
      <c r="S68" s="30" t="s">
        <v>54</v>
      </c>
      <c r="T68" s="30" t="s">
        <v>246</v>
      </c>
      <c r="U68" s="29" t="s">
        <v>247</v>
      </c>
      <c r="V68" s="29" t="s">
        <v>247</v>
      </c>
      <c r="W68" s="29" t="str">
        <f t="shared" si="8"/>
        <v>NR</v>
      </c>
      <c r="X68" s="30" t="s">
        <v>248</v>
      </c>
      <c r="Y68" s="30" t="s">
        <v>247</v>
      </c>
      <c r="Z68" s="30" t="s">
        <v>250</v>
      </c>
      <c r="AA68" s="30" t="s">
        <v>503</v>
      </c>
      <c r="AB68" s="30" t="s">
        <v>252</v>
      </c>
      <c r="AC68" s="30"/>
      <c r="AD68" s="9" t="s">
        <v>112</v>
      </c>
      <c r="AE68" s="9" t="s">
        <v>254</v>
      </c>
      <c r="AF68" s="9" t="s">
        <v>199</v>
      </c>
      <c r="AG68" s="9" t="s">
        <v>255</v>
      </c>
      <c r="AH68" s="9" t="s">
        <v>112</v>
      </c>
    </row>
    <row r="69" spans="1:34" ht="79.5" customHeight="1" x14ac:dyDescent="0.25">
      <c r="A69" s="38" t="s">
        <v>509</v>
      </c>
      <c r="B69" s="39" t="s">
        <v>172</v>
      </c>
      <c r="C69" s="29">
        <v>0.85</v>
      </c>
      <c r="D69" s="29">
        <v>0.85</v>
      </c>
      <c r="E69" s="29">
        <v>0.85</v>
      </c>
      <c r="F69" s="29">
        <v>0.85</v>
      </c>
      <c r="G69" s="29">
        <v>0.85</v>
      </c>
      <c r="H69" s="29">
        <v>20</v>
      </c>
      <c r="I69" s="30"/>
      <c r="J69" s="30"/>
      <c r="K69" s="30"/>
      <c r="L69" s="30" t="s">
        <v>510</v>
      </c>
      <c r="M69" s="31" t="s">
        <v>244</v>
      </c>
      <c r="N69" s="29">
        <v>4</v>
      </c>
      <c r="O69" s="30" t="s">
        <v>49</v>
      </c>
      <c r="P69" s="29">
        <f t="shared" si="6"/>
        <v>0.85</v>
      </c>
      <c r="Q69" s="29">
        <f t="shared" si="7"/>
        <v>15</v>
      </c>
      <c r="R69" s="30" t="s">
        <v>54</v>
      </c>
      <c r="S69" s="30" t="s">
        <v>54</v>
      </c>
      <c r="T69" s="30" t="s">
        <v>265</v>
      </c>
      <c r="U69" s="29" t="s">
        <v>247</v>
      </c>
      <c r="V69" s="29" t="s">
        <v>247</v>
      </c>
      <c r="W69" s="29" t="str">
        <f t="shared" si="8"/>
        <v>NR</v>
      </c>
      <c r="X69" s="30" t="s">
        <v>319</v>
      </c>
      <c r="Y69" s="30" t="s">
        <v>247</v>
      </c>
      <c r="Z69" s="30" t="s">
        <v>250</v>
      </c>
      <c r="AA69" s="30" t="s">
        <v>503</v>
      </c>
      <c r="AB69" s="30" t="s">
        <v>252</v>
      </c>
      <c r="AC69" s="30" t="s">
        <v>747</v>
      </c>
      <c r="AD69" s="9" t="s">
        <v>112</v>
      </c>
      <c r="AE69" s="9" t="s">
        <v>261</v>
      </c>
      <c r="AF69" s="9" t="s">
        <v>199</v>
      </c>
      <c r="AG69" s="9" t="s">
        <v>262</v>
      </c>
      <c r="AH69" s="9" t="s">
        <v>256</v>
      </c>
    </row>
    <row r="70" spans="1:34" ht="34.5" customHeight="1" x14ac:dyDescent="0.25">
      <c r="A70" s="38" t="s">
        <v>511</v>
      </c>
      <c r="B70" s="39" t="s">
        <v>175</v>
      </c>
      <c r="C70" s="29">
        <v>0.75</v>
      </c>
      <c r="D70" s="29">
        <v>0.75</v>
      </c>
      <c r="E70" s="29">
        <v>0.75</v>
      </c>
      <c r="F70" s="29">
        <v>0.75</v>
      </c>
      <c r="G70" s="29">
        <v>0.75</v>
      </c>
      <c r="H70" s="29">
        <v>20</v>
      </c>
      <c r="I70" s="30"/>
      <c r="J70" s="30"/>
      <c r="K70" s="30"/>
      <c r="L70" s="30" t="s">
        <v>512</v>
      </c>
      <c r="M70" s="31" t="s">
        <v>244</v>
      </c>
      <c r="N70" s="29">
        <v>3</v>
      </c>
      <c r="O70" s="30" t="s">
        <v>312</v>
      </c>
      <c r="P70" s="29">
        <f t="shared" si="6"/>
        <v>0.75</v>
      </c>
      <c r="Q70" s="29">
        <f t="shared" si="7"/>
        <v>25</v>
      </c>
      <c r="R70" s="30" t="s">
        <v>337</v>
      </c>
      <c r="S70" s="30" t="s">
        <v>54</v>
      </c>
      <c r="T70" s="30" t="s">
        <v>359</v>
      </c>
      <c r="U70" s="29" t="s">
        <v>247</v>
      </c>
      <c r="V70" s="29" t="s">
        <v>247</v>
      </c>
      <c r="W70" s="29" t="str">
        <f t="shared" si="8"/>
        <v>NR</v>
      </c>
      <c r="X70" s="30" t="s">
        <v>248</v>
      </c>
      <c r="Y70" s="30" t="s">
        <v>247</v>
      </c>
      <c r="Z70" s="30" t="s">
        <v>513</v>
      </c>
      <c r="AA70" s="30" t="s">
        <v>355</v>
      </c>
      <c r="AB70" s="30" t="s">
        <v>340</v>
      </c>
      <c r="AC70" s="30"/>
      <c r="AD70" s="37" t="s">
        <v>514</v>
      </c>
      <c r="AE70" s="37" t="s">
        <v>254</v>
      </c>
      <c r="AF70" s="37" t="s">
        <v>199</v>
      </c>
      <c r="AG70" s="37" t="s">
        <v>262</v>
      </c>
      <c r="AH70" s="37" t="s">
        <v>256</v>
      </c>
    </row>
    <row r="71" spans="1:34" ht="34.5" customHeight="1" x14ac:dyDescent="0.25">
      <c r="A71" s="38" t="s">
        <v>515</v>
      </c>
      <c r="B71" s="39" t="s">
        <v>175</v>
      </c>
      <c r="C71" s="29">
        <v>0.69</v>
      </c>
      <c r="D71" s="29">
        <v>0.69</v>
      </c>
      <c r="E71" s="29">
        <v>0.69</v>
      </c>
      <c r="F71" s="29">
        <v>0.69</v>
      </c>
      <c r="G71" s="29">
        <v>0.69</v>
      </c>
      <c r="H71" s="29">
        <v>20</v>
      </c>
      <c r="I71" s="30"/>
      <c r="J71" s="30"/>
      <c r="K71" s="30"/>
      <c r="L71" s="30" t="s">
        <v>516</v>
      </c>
      <c r="M71" s="31" t="s">
        <v>244</v>
      </c>
      <c r="N71" s="29">
        <v>3</v>
      </c>
      <c r="O71" s="30" t="s">
        <v>312</v>
      </c>
      <c r="P71" s="29">
        <f t="shared" si="6"/>
        <v>0.69</v>
      </c>
      <c r="Q71" s="29">
        <f t="shared" si="7"/>
        <v>31</v>
      </c>
      <c r="R71" s="30" t="s">
        <v>337</v>
      </c>
      <c r="S71" s="30" t="s">
        <v>54</v>
      </c>
      <c r="T71" s="30" t="s">
        <v>359</v>
      </c>
      <c r="U71" s="29" t="s">
        <v>247</v>
      </c>
      <c r="V71" s="29" t="s">
        <v>247</v>
      </c>
      <c r="W71" s="29" t="str">
        <f t="shared" si="8"/>
        <v>NR</v>
      </c>
      <c r="X71" s="30" t="s">
        <v>248</v>
      </c>
      <c r="Y71" s="30" t="s">
        <v>247</v>
      </c>
      <c r="Z71" s="30" t="s">
        <v>513</v>
      </c>
      <c r="AA71" s="30" t="s">
        <v>355</v>
      </c>
      <c r="AB71" s="30" t="s">
        <v>340</v>
      </c>
      <c r="AC71" s="30"/>
      <c r="AD71" s="37" t="s">
        <v>514</v>
      </c>
      <c r="AE71" s="37" t="s">
        <v>254</v>
      </c>
      <c r="AF71" s="37" t="s">
        <v>199</v>
      </c>
      <c r="AG71" s="37" t="s">
        <v>262</v>
      </c>
      <c r="AH71" s="37" t="s">
        <v>256</v>
      </c>
    </row>
    <row r="72" spans="1:34" ht="34.5" customHeight="1" x14ac:dyDescent="0.25">
      <c r="A72" s="38" t="s">
        <v>517</v>
      </c>
      <c r="B72" s="39" t="s">
        <v>175</v>
      </c>
      <c r="C72" s="29">
        <v>0.70099999999999996</v>
      </c>
      <c r="D72" s="29">
        <v>0.70099999999999996</v>
      </c>
      <c r="E72" s="29">
        <v>0.70099999999999996</v>
      </c>
      <c r="F72" s="29">
        <v>0.70099999999999996</v>
      </c>
      <c r="G72" s="29">
        <v>0.70099999999999996</v>
      </c>
      <c r="H72" s="29">
        <v>20</v>
      </c>
      <c r="I72" s="30"/>
      <c r="J72" s="30"/>
      <c r="K72" s="30"/>
      <c r="L72" s="30" t="s">
        <v>518</v>
      </c>
      <c r="M72" s="32" t="s">
        <v>273</v>
      </c>
      <c r="N72" s="29">
        <v>4</v>
      </c>
      <c r="O72" s="30" t="s">
        <v>49</v>
      </c>
      <c r="P72" s="29">
        <f t="shared" si="6"/>
        <v>0.70099999999999996</v>
      </c>
      <c r="Q72" s="29">
        <f t="shared" si="7"/>
        <v>29.9</v>
      </c>
      <c r="R72" s="30" t="s">
        <v>54</v>
      </c>
      <c r="S72" s="30" t="s">
        <v>387</v>
      </c>
      <c r="T72" s="30" t="s">
        <v>265</v>
      </c>
      <c r="U72" s="29">
        <v>6800</v>
      </c>
      <c r="V72" s="29">
        <v>22141</v>
      </c>
      <c r="W72" s="29">
        <f t="shared" si="8"/>
        <v>14471</v>
      </c>
      <c r="X72" s="30" t="s">
        <v>248</v>
      </c>
      <c r="Y72" s="30" t="s">
        <v>247</v>
      </c>
      <c r="Z72" s="30" t="s">
        <v>250</v>
      </c>
      <c r="AA72" s="30" t="s">
        <v>297</v>
      </c>
      <c r="AB72" s="30" t="s">
        <v>252</v>
      </c>
      <c r="AC72" s="30" t="s">
        <v>388</v>
      </c>
      <c r="AD72" s="9" t="s">
        <v>112</v>
      </c>
      <c r="AE72" s="9" t="s">
        <v>261</v>
      </c>
      <c r="AF72" s="9" t="s">
        <v>389</v>
      </c>
      <c r="AG72" s="9" t="s">
        <v>519</v>
      </c>
      <c r="AH72" s="9" t="s">
        <v>256</v>
      </c>
    </row>
    <row r="73" spans="1:34" ht="34.5" customHeight="1" x14ac:dyDescent="0.25">
      <c r="A73" s="38" t="s">
        <v>520</v>
      </c>
      <c r="B73" s="39" t="s">
        <v>175</v>
      </c>
      <c r="C73" s="29">
        <v>0.53</v>
      </c>
      <c r="D73" s="29">
        <v>0.53</v>
      </c>
      <c r="E73" s="29">
        <v>0.53</v>
      </c>
      <c r="F73" s="29">
        <v>0.53</v>
      </c>
      <c r="G73" s="29">
        <v>0.53</v>
      </c>
      <c r="H73" s="29">
        <v>20</v>
      </c>
      <c r="I73" s="30"/>
      <c r="J73" s="30"/>
      <c r="K73" s="30"/>
      <c r="L73" s="30" t="s">
        <v>521</v>
      </c>
      <c r="M73" s="32" t="s">
        <v>273</v>
      </c>
      <c r="N73" s="29">
        <v>5</v>
      </c>
      <c r="O73" s="30" t="s">
        <v>55</v>
      </c>
      <c r="P73" s="29">
        <f t="shared" si="6"/>
        <v>0.53</v>
      </c>
      <c r="Q73" s="29">
        <f t="shared" si="7"/>
        <v>47</v>
      </c>
      <c r="R73" s="30" t="s">
        <v>54</v>
      </c>
      <c r="S73" s="30" t="s">
        <v>522</v>
      </c>
      <c r="T73" s="30" t="s">
        <v>265</v>
      </c>
      <c r="U73" s="29" t="s">
        <v>247</v>
      </c>
      <c r="V73" s="29" t="s">
        <v>247</v>
      </c>
      <c r="W73" s="29" t="str">
        <f t="shared" si="8"/>
        <v>NR</v>
      </c>
      <c r="X73" s="30" t="s">
        <v>248</v>
      </c>
      <c r="Y73" s="30" t="s">
        <v>247</v>
      </c>
      <c r="Z73" s="30" t="s">
        <v>250</v>
      </c>
      <c r="AA73" s="30" t="s">
        <v>251</v>
      </c>
      <c r="AB73" s="30" t="s">
        <v>252</v>
      </c>
      <c r="AC73" s="30"/>
      <c r="AD73" s="9" t="s">
        <v>112</v>
      </c>
      <c r="AE73" s="9" t="s">
        <v>261</v>
      </c>
      <c r="AF73" s="9" t="s">
        <v>523</v>
      </c>
      <c r="AG73" s="9" t="s">
        <v>262</v>
      </c>
      <c r="AH73" s="9" t="s">
        <v>256</v>
      </c>
    </row>
    <row r="74" spans="1:34" ht="45.75" customHeight="1" x14ac:dyDescent="0.25">
      <c r="A74" s="38" t="s">
        <v>524</v>
      </c>
      <c r="B74" s="39" t="s">
        <v>175</v>
      </c>
      <c r="C74" s="29">
        <v>0.46899999999999997</v>
      </c>
      <c r="D74" s="29">
        <v>0.46899999999999997</v>
      </c>
      <c r="E74" s="29">
        <v>0.46899999999999997</v>
      </c>
      <c r="F74" s="29">
        <v>0.46899999999999997</v>
      </c>
      <c r="G74" s="29">
        <v>0.46899999999999997</v>
      </c>
      <c r="H74" s="29">
        <v>20</v>
      </c>
      <c r="I74" s="30"/>
      <c r="J74" s="30"/>
      <c r="K74" s="30"/>
      <c r="L74" s="30" t="s">
        <v>525</v>
      </c>
      <c r="M74" s="32" t="s">
        <v>273</v>
      </c>
      <c r="N74" s="29">
        <v>4</v>
      </c>
      <c r="O74" s="30" t="s">
        <v>54</v>
      </c>
      <c r="P74" s="29">
        <f t="shared" si="6"/>
        <v>0.46899999999999997</v>
      </c>
      <c r="Q74" s="29">
        <f t="shared" si="7"/>
        <v>53.1</v>
      </c>
      <c r="R74" s="30" t="s">
        <v>245</v>
      </c>
      <c r="S74" s="30" t="s">
        <v>54</v>
      </c>
      <c r="T74" s="30" t="s">
        <v>313</v>
      </c>
      <c r="U74" s="29" t="s">
        <v>247</v>
      </c>
      <c r="V74" s="29" t="s">
        <v>247</v>
      </c>
      <c r="W74" s="29" t="str">
        <f t="shared" si="8"/>
        <v>NR</v>
      </c>
      <c r="X74" s="30" t="s">
        <v>248</v>
      </c>
      <c r="Y74" s="30" t="s">
        <v>247</v>
      </c>
      <c r="Z74" s="30" t="s">
        <v>250</v>
      </c>
      <c r="AA74" s="30" t="s">
        <v>526</v>
      </c>
      <c r="AB74" s="30" t="s">
        <v>252</v>
      </c>
      <c r="AC74" s="30"/>
      <c r="AD74" s="9" t="s">
        <v>112</v>
      </c>
      <c r="AE74" s="9" t="s">
        <v>254</v>
      </c>
      <c r="AF74" s="9" t="s">
        <v>199</v>
      </c>
      <c r="AG74" s="9" t="s">
        <v>262</v>
      </c>
      <c r="AH74" s="9" t="s">
        <v>256</v>
      </c>
    </row>
    <row r="75" spans="1:34" ht="21.75" customHeight="1" x14ac:dyDescent="0.25">
      <c r="A75" s="38" t="s">
        <v>527</v>
      </c>
      <c r="B75" s="39" t="s">
        <v>175</v>
      </c>
      <c r="C75" s="29">
        <v>0.53</v>
      </c>
      <c r="D75" s="29">
        <v>0.53</v>
      </c>
      <c r="E75" s="29">
        <v>0.53</v>
      </c>
      <c r="F75" s="29">
        <v>0.53</v>
      </c>
      <c r="G75" s="29">
        <v>0.53</v>
      </c>
      <c r="H75" s="29">
        <v>20</v>
      </c>
      <c r="I75" s="30"/>
      <c r="J75" s="30"/>
      <c r="K75" s="30"/>
      <c r="L75" s="30" t="s">
        <v>528</v>
      </c>
      <c r="M75" s="32" t="s">
        <v>273</v>
      </c>
      <c r="N75" s="29">
        <v>4</v>
      </c>
      <c r="O75" s="30" t="s">
        <v>248</v>
      </c>
      <c r="P75" s="29">
        <f t="shared" si="6"/>
        <v>0.53</v>
      </c>
      <c r="Q75" s="29">
        <f t="shared" si="7"/>
        <v>47</v>
      </c>
      <c r="R75" s="30" t="s">
        <v>54</v>
      </c>
      <c r="S75" s="30" t="s">
        <v>529</v>
      </c>
      <c r="T75" s="30" t="s">
        <v>54</v>
      </c>
      <c r="U75" s="29">
        <v>4883</v>
      </c>
      <c r="V75" s="29">
        <v>96080</v>
      </c>
      <c r="W75" s="29">
        <f t="shared" si="8"/>
        <v>50482</v>
      </c>
      <c r="X75" s="30" t="s">
        <v>248</v>
      </c>
      <c r="Y75" s="30" t="s">
        <v>530</v>
      </c>
      <c r="Z75" s="30" t="s">
        <v>250</v>
      </c>
      <c r="AA75" s="30" t="s">
        <v>307</v>
      </c>
      <c r="AB75" s="30" t="s">
        <v>269</v>
      </c>
      <c r="AC75" s="30"/>
      <c r="AD75" s="9" t="s">
        <v>112</v>
      </c>
      <c r="AE75" s="9" t="s">
        <v>261</v>
      </c>
      <c r="AF75" s="9" t="s">
        <v>531</v>
      </c>
      <c r="AG75" s="9" t="s">
        <v>532</v>
      </c>
      <c r="AH75" s="9" t="s">
        <v>112</v>
      </c>
    </row>
    <row r="76" spans="1:34" ht="90.75" customHeight="1" x14ac:dyDescent="0.25">
      <c r="A76" s="38" t="s">
        <v>533</v>
      </c>
      <c r="B76" s="39" t="s">
        <v>180</v>
      </c>
      <c r="C76" s="29">
        <v>0.86</v>
      </c>
      <c r="D76" s="29">
        <v>0.86</v>
      </c>
      <c r="E76" s="29">
        <v>0.86</v>
      </c>
      <c r="F76" s="29">
        <v>0.86</v>
      </c>
      <c r="G76" s="29">
        <v>0.86</v>
      </c>
      <c r="H76" s="29">
        <v>20</v>
      </c>
      <c r="I76" s="30"/>
      <c r="J76" s="30"/>
      <c r="K76" s="30"/>
      <c r="L76" s="30" t="s">
        <v>534</v>
      </c>
      <c r="M76" s="31" t="s">
        <v>244</v>
      </c>
      <c r="N76" s="29">
        <v>4</v>
      </c>
      <c r="O76" s="30" t="s">
        <v>54</v>
      </c>
      <c r="P76" s="29">
        <f t="shared" si="6"/>
        <v>0.86</v>
      </c>
      <c r="Q76" s="29">
        <f t="shared" si="7"/>
        <v>14</v>
      </c>
      <c r="R76" s="30" t="s">
        <v>54</v>
      </c>
      <c r="S76" s="30" t="s">
        <v>54</v>
      </c>
      <c r="T76" s="30" t="s">
        <v>313</v>
      </c>
      <c r="U76" s="29">
        <v>1500</v>
      </c>
      <c r="V76" s="29">
        <v>40600</v>
      </c>
      <c r="W76" s="29">
        <f t="shared" si="8"/>
        <v>21050</v>
      </c>
      <c r="X76" s="30" t="s">
        <v>319</v>
      </c>
      <c r="Y76" s="30" t="s">
        <v>247</v>
      </c>
      <c r="Z76" s="30" t="s">
        <v>513</v>
      </c>
      <c r="AA76" s="30" t="s">
        <v>458</v>
      </c>
      <c r="AB76" s="30" t="s">
        <v>252</v>
      </c>
      <c r="AC76" s="30" t="s">
        <v>760</v>
      </c>
      <c r="AD76" s="9" t="s">
        <v>112</v>
      </c>
      <c r="AE76" s="9" t="s">
        <v>261</v>
      </c>
      <c r="AF76" s="9" t="s">
        <v>199</v>
      </c>
      <c r="AG76" s="9" t="s">
        <v>536</v>
      </c>
      <c r="AH76" s="9" t="s">
        <v>256</v>
      </c>
    </row>
    <row r="77" spans="1:34" ht="34.5" customHeight="1" x14ac:dyDescent="0.25">
      <c r="A77" s="38" t="s">
        <v>537</v>
      </c>
      <c r="B77" s="39" t="s">
        <v>180</v>
      </c>
      <c r="C77" s="29">
        <v>0.39700000000000002</v>
      </c>
      <c r="D77" s="29">
        <v>0.39700000000000002</v>
      </c>
      <c r="E77" s="29">
        <v>0.39700000000000002</v>
      </c>
      <c r="F77" s="29">
        <v>0.39700000000000002</v>
      </c>
      <c r="G77" s="29">
        <v>0.39700000000000002</v>
      </c>
      <c r="H77" s="29">
        <v>20</v>
      </c>
      <c r="I77" s="30"/>
      <c r="J77" s="30"/>
      <c r="K77" s="30"/>
      <c r="L77" s="30" t="s">
        <v>538</v>
      </c>
      <c r="M77" s="32" t="s">
        <v>273</v>
      </c>
      <c r="N77" s="29">
        <v>4</v>
      </c>
      <c r="O77" s="30" t="s">
        <v>265</v>
      </c>
      <c r="P77" s="29">
        <f t="shared" si="6"/>
        <v>0.39700000000000002</v>
      </c>
      <c r="Q77" s="29">
        <f t="shared" si="7"/>
        <v>60.3</v>
      </c>
      <c r="R77" s="30" t="s">
        <v>54</v>
      </c>
      <c r="S77" s="30" t="s">
        <v>539</v>
      </c>
      <c r="T77" s="30" t="s">
        <v>265</v>
      </c>
      <c r="U77" s="29" t="s">
        <v>247</v>
      </c>
      <c r="V77" s="29" t="s">
        <v>247</v>
      </c>
      <c r="W77" s="29" t="str">
        <f t="shared" si="8"/>
        <v>NR</v>
      </c>
      <c r="X77" s="30" t="s">
        <v>319</v>
      </c>
      <c r="Y77" s="30" t="s">
        <v>247</v>
      </c>
      <c r="Z77" s="30" t="s">
        <v>250</v>
      </c>
      <c r="AA77" s="30" t="s">
        <v>345</v>
      </c>
      <c r="AB77" s="30" t="s">
        <v>252</v>
      </c>
      <c r="AC77" s="30" t="s">
        <v>540</v>
      </c>
      <c r="AD77" s="9" t="s">
        <v>112</v>
      </c>
      <c r="AE77" s="9" t="s">
        <v>261</v>
      </c>
      <c r="AF77" s="9" t="s">
        <v>541</v>
      </c>
      <c r="AG77" s="9" t="s">
        <v>262</v>
      </c>
      <c r="AH77" s="9" t="s">
        <v>256</v>
      </c>
    </row>
    <row r="78" spans="1:34" ht="45.75" customHeight="1" x14ac:dyDescent="0.25">
      <c r="A78" s="38" t="s">
        <v>542</v>
      </c>
      <c r="B78" s="39" t="s">
        <v>180</v>
      </c>
      <c r="C78" s="29">
        <v>0.40400000000000003</v>
      </c>
      <c r="D78" s="29">
        <v>0.40400000000000003</v>
      </c>
      <c r="E78" s="29">
        <v>0.40400000000000003</v>
      </c>
      <c r="F78" s="29">
        <v>0.40400000000000003</v>
      </c>
      <c r="G78" s="29">
        <v>0.40400000000000003</v>
      </c>
      <c r="H78" s="29">
        <v>20</v>
      </c>
      <c r="I78" s="30"/>
      <c r="J78" s="30"/>
      <c r="K78" s="30"/>
      <c r="L78" s="30" t="s">
        <v>543</v>
      </c>
      <c r="M78" s="32" t="s">
        <v>273</v>
      </c>
      <c r="N78" s="29">
        <v>4</v>
      </c>
      <c r="O78" s="30" t="s">
        <v>248</v>
      </c>
      <c r="P78" s="29">
        <f t="shared" si="6"/>
        <v>0.40400000000000003</v>
      </c>
      <c r="Q78" s="29">
        <f t="shared" si="7"/>
        <v>59.6</v>
      </c>
      <c r="R78" s="30" t="s">
        <v>54</v>
      </c>
      <c r="S78" s="30" t="s">
        <v>544</v>
      </c>
      <c r="T78" s="30" t="s">
        <v>54</v>
      </c>
      <c r="U78" s="29" t="s">
        <v>247</v>
      </c>
      <c r="V78" s="29" t="s">
        <v>247</v>
      </c>
      <c r="W78" s="29" t="str">
        <f t="shared" si="8"/>
        <v>NR</v>
      </c>
      <c r="X78" s="30" t="s">
        <v>442</v>
      </c>
      <c r="Y78" s="30" t="s">
        <v>545</v>
      </c>
      <c r="Z78" s="30" t="s">
        <v>250</v>
      </c>
      <c r="AA78" s="30" t="s">
        <v>275</v>
      </c>
      <c r="AB78" s="30" t="s">
        <v>252</v>
      </c>
      <c r="AC78" s="30" t="s">
        <v>546</v>
      </c>
      <c r="AD78" s="9" t="s">
        <v>112</v>
      </c>
      <c r="AE78" s="9" t="s">
        <v>261</v>
      </c>
      <c r="AF78" s="9" t="s">
        <v>547</v>
      </c>
      <c r="AG78" s="9" t="s">
        <v>262</v>
      </c>
      <c r="AH78" s="9" t="s">
        <v>256</v>
      </c>
    </row>
    <row r="79" spans="1:34" ht="57" customHeight="1" x14ac:dyDescent="0.25">
      <c r="A79" s="38" t="s">
        <v>548</v>
      </c>
      <c r="B79" s="39" t="s">
        <v>180</v>
      </c>
      <c r="C79" s="29">
        <v>0.55800000000000005</v>
      </c>
      <c r="D79" s="29">
        <v>0.55800000000000005</v>
      </c>
      <c r="E79" s="29">
        <v>0.55800000000000005</v>
      </c>
      <c r="F79" s="29">
        <v>0.55800000000000005</v>
      </c>
      <c r="G79" s="29">
        <v>0.55800000000000005</v>
      </c>
      <c r="H79" s="29">
        <v>20</v>
      </c>
      <c r="I79" s="30"/>
      <c r="J79" s="30"/>
      <c r="K79" s="30"/>
      <c r="L79" s="30" t="s">
        <v>549</v>
      </c>
      <c r="M79" s="32" t="s">
        <v>273</v>
      </c>
      <c r="N79" s="29">
        <v>4</v>
      </c>
      <c r="O79" s="30" t="s">
        <v>248</v>
      </c>
      <c r="P79" s="29">
        <f t="shared" si="6"/>
        <v>0.55800000000000005</v>
      </c>
      <c r="Q79" s="29">
        <f t="shared" si="7"/>
        <v>44.2</v>
      </c>
      <c r="R79" s="30" t="s">
        <v>54</v>
      </c>
      <c r="S79" s="30" t="s">
        <v>54</v>
      </c>
      <c r="T79" s="30" t="s">
        <v>54</v>
      </c>
      <c r="U79" s="29" t="s">
        <v>247</v>
      </c>
      <c r="V79" s="29" t="s">
        <v>247</v>
      </c>
      <c r="W79" s="29" t="str">
        <f t="shared" si="8"/>
        <v>NR</v>
      </c>
      <c r="X79" s="30" t="s">
        <v>442</v>
      </c>
      <c r="Y79" s="30" t="s">
        <v>545</v>
      </c>
      <c r="Z79" s="30" t="s">
        <v>250</v>
      </c>
      <c r="AA79" s="30" t="s">
        <v>275</v>
      </c>
      <c r="AB79" s="30" t="s">
        <v>252</v>
      </c>
      <c r="AC79" s="30" t="s">
        <v>550</v>
      </c>
      <c r="AD79" s="9" t="s">
        <v>112</v>
      </c>
      <c r="AE79" s="9" t="s">
        <v>261</v>
      </c>
      <c r="AF79" s="9" t="s">
        <v>199</v>
      </c>
      <c r="AG79" s="9" t="s">
        <v>262</v>
      </c>
      <c r="AH79" s="9" t="s">
        <v>256</v>
      </c>
    </row>
    <row r="80" spans="1:34" ht="90.75" customHeight="1" x14ac:dyDescent="0.25">
      <c r="A80" s="38" t="s">
        <v>551</v>
      </c>
      <c r="B80" s="39" t="s">
        <v>180</v>
      </c>
      <c r="C80" s="29">
        <v>0.74</v>
      </c>
      <c r="D80" s="29">
        <v>0.74</v>
      </c>
      <c r="E80" s="29">
        <v>0.74</v>
      </c>
      <c r="F80" s="29">
        <v>0.74</v>
      </c>
      <c r="G80" s="29">
        <v>0.74</v>
      </c>
      <c r="H80" s="29">
        <v>20</v>
      </c>
      <c r="I80" s="30"/>
      <c r="J80" s="30"/>
      <c r="K80" s="30"/>
      <c r="L80" s="30" t="s">
        <v>552</v>
      </c>
      <c r="M80" s="32" t="s">
        <v>273</v>
      </c>
      <c r="N80" s="29">
        <v>4</v>
      </c>
      <c r="O80" s="30" t="s">
        <v>54</v>
      </c>
      <c r="P80" s="29">
        <f t="shared" si="6"/>
        <v>0.74</v>
      </c>
      <c r="Q80" s="29">
        <f t="shared" si="7"/>
        <v>26</v>
      </c>
      <c r="R80" s="30" t="s">
        <v>54</v>
      </c>
      <c r="S80" s="30" t="s">
        <v>54</v>
      </c>
      <c r="T80" s="30" t="s">
        <v>313</v>
      </c>
      <c r="U80" s="29">
        <v>1500</v>
      </c>
      <c r="V80" s="29">
        <v>40600</v>
      </c>
      <c r="W80" s="29">
        <f t="shared" si="8"/>
        <v>21050</v>
      </c>
      <c r="X80" s="30" t="s">
        <v>319</v>
      </c>
      <c r="Y80" s="30" t="s">
        <v>247</v>
      </c>
      <c r="Z80" s="30" t="s">
        <v>513</v>
      </c>
      <c r="AA80" s="30" t="s">
        <v>458</v>
      </c>
      <c r="AB80" s="30" t="s">
        <v>252</v>
      </c>
      <c r="AC80" s="30" t="s">
        <v>535</v>
      </c>
      <c r="AD80" s="9" t="s">
        <v>112</v>
      </c>
      <c r="AE80" s="9" t="s">
        <v>261</v>
      </c>
      <c r="AF80" s="9" t="s">
        <v>199</v>
      </c>
      <c r="AG80" s="9" t="s">
        <v>536</v>
      </c>
      <c r="AH80" s="9" t="s">
        <v>256</v>
      </c>
    </row>
    <row r="81" spans="1:34" ht="90.75" customHeight="1" x14ac:dyDescent="0.25">
      <c r="A81" s="38" t="s">
        <v>553</v>
      </c>
      <c r="B81" s="39" t="s">
        <v>180</v>
      </c>
      <c r="C81" s="29">
        <v>0.77</v>
      </c>
      <c r="D81" s="29">
        <v>0.77</v>
      </c>
      <c r="E81" s="29">
        <v>0.77</v>
      </c>
      <c r="F81" s="29">
        <v>0.77</v>
      </c>
      <c r="G81" s="29">
        <v>0.77</v>
      </c>
      <c r="H81" s="29">
        <v>20</v>
      </c>
      <c r="I81" s="30"/>
      <c r="J81" s="30"/>
      <c r="K81" s="30"/>
      <c r="L81" s="30" t="s">
        <v>554</v>
      </c>
      <c r="M81" s="32" t="s">
        <v>273</v>
      </c>
      <c r="N81" s="29">
        <v>4</v>
      </c>
      <c r="O81" s="30" t="s">
        <v>54</v>
      </c>
      <c r="P81" s="29">
        <f t="shared" si="6"/>
        <v>0.77</v>
      </c>
      <c r="Q81" s="29">
        <f t="shared" si="7"/>
        <v>23</v>
      </c>
      <c r="R81" s="30" t="s">
        <v>245</v>
      </c>
      <c r="S81" s="30" t="s">
        <v>54</v>
      </c>
      <c r="T81" s="30" t="s">
        <v>313</v>
      </c>
      <c r="U81" s="29">
        <v>1500</v>
      </c>
      <c r="V81" s="29">
        <v>40600</v>
      </c>
      <c r="W81" s="29">
        <f t="shared" si="8"/>
        <v>21050</v>
      </c>
      <c r="X81" s="30" t="s">
        <v>319</v>
      </c>
      <c r="Y81" s="30" t="s">
        <v>247</v>
      </c>
      <c r="Z81" s="30" t="s">
        <v>513</v>
      </c>
      <c r="AA81" s="30" t="s">
        <v>458</v>
      </c>
      <c r="AB81" s="30" t="s">
        <v>252</v>
      </c>
      <c r="AC81" s="30" t="s">
        <v>535</v>
      </c>
      <c r="AD81" s="9" t="s">
        <v>112</v>
      </c>
      <c r="AE81" s="9" t="s">
        <v>254</v>
      </c>
      <c r="AF81" s="9" t="s">
        <v>199</v>
      </c>
      <c r="AG81" s="9" t="s">
        <v>536</v>
      </c>
      <c r="AH81" s="9" t="s">
        <v>256</v>
      </c>
    </row>
    <row r="82" spans="1:34" ht="90.75" customHeight="1" x14ac:dyDescent="0.25">
      <c r="A82" s="38" t="s">
        <v>555</v>
      </c>
      <c r="B82" s="39" t="s">
        <v>183</v>
      </c>
      <c r="C82" s="29">
        <v>0.72</v>
      </c>
      <c r="D82" s="29">
        <v>0.72</v>
      </c>
      <c r="E82" s="29">
        <v>0.72</v>
      </c>
      <c r="F82" s="29">
        <v>0.72</v>
      </c>
      <c r="G82" s="29">
        <v>0.72</v>
      </c>
      <c r="H82" s="29">
        <v>20</v>
      </c>
      <c r="I82" s="30"/>
      <c r="J82" s="30"/>
      <c r="K82" s="30"/>
      <c r="L82" s="30" t="s">
        <v>556</v>
      </c>
      <c r="M82" s="31" t="s">
        <v>244</v>
      </c>
      <c r="N82" s="29">
        <v>4</v>
      </c>
      <c r="O82" s="30" t="s">
        <v>55</v>
      </c>
      <c r="P82" s="29">
        <f t="shared" si="6"/>
        <v>0.72</v>
      </c>
      <c r="Q82" s="29">
        <f t="shared" si="7"/>
        <v>28</v>
      </c>
      <c r="R82" s="30" t="s">
        <v>54</v>
      </c>
      <c r="S82" s="30" t="s">
        <v>54</v>
      </c>
      <c r="T82" s="30" t="s">
        <v>313</v>
      </c>
      <c r="U82" s="29">
        <v>1600</v>
      </c>
      <c r="V82" s="29">
        <v>32400</v>
      </c>
      <c r="W82" s="29">
        <f t="shared" si="8"/>
        <v>17000</v>
      </c>
      <c r="X82" s="30" t="s">
        <v>319</v>
      </c>
      <c r="Y82" s="30" t="s">
        <v>247</v>
      </c>
      <c r="Z82" s="30" t="s">
        <v>513</v>
      </c>
      <c r="AA82" s="30" t="s">
        <v>557</v>
      </c>
      <c r="AB82" s="30" t="s">
        <v>252</v>
      </c>
      <c r="AC82" s="30" t="s">
        <v>535</v>
      </c>
      <c r="AD82" s="9" t="s">
        <v>112</v>
      </c>
      <c r="AE82" s="9" t="s">
        <v>261</v>
      </c>
      <c r="AF82" s="9" t="s">
        <v>199</v>
      </c>
      <c r="AG82" s="9" t="s">
        <v>558</v>
      </c>
      <c r="AH82" s="9" t="s">
        <v>256</v>
      </c>
    </row>
    <row r="83" spans="1:34" ht="45.75" customHeight="1" x14ac:dyDescent="0.25">
      <c r="A83" s="38" t="s">
        <v>559</v>
      </c>
      <c r="B83" s="39" t="s">
        <v>183</v>
      </c>
      <c r="C83" s="29">
        <v>0.64400000000000002</v>
      </c>
      <c r="D83" s="29">
        <v>0.64400000000000002</v>
      </c>
      <c r="E83" s="29">
        <v>0.64400000000000002</v>
      </c>
      <c r="F83" s="29">
        <v>0.64400000000000002</v>
      </c>
      <c r="G83" s="29">
        <v>0.64400000000000002</v>
      </c>
      <c r="H83" s="29">
        <v>20</v>
      </c>
      <c r="I83" s="30"/>
      <c r="J83" s="30"/>
      <c r="K83" s="30"/>
      <c r="L83" s="30" t="s">
        <v>560</v>
      </c>
      <c r="M83" s="31" t="s">
        <v>244</v>
      </c>
      <c r="N83" s="29">
        <v>3</v>
      </c>
      <c r="O83" s="30" t="s">
        <v>265</v>
      </c>
      <c r="P83" s="29">
        <f t="shared" si="6"/>
        <v>0.64400000000000002</v>
      </c>
      <c r="Q83" s="29">
        <f t="shared" si="7"/>
        <v>35.6</v>
      </c>
      <c r="R83" s="30" t="s">
        <v>245</v>
      </c>
      <c r="S83" s="30" t="s">
        <v>54</v>
      </c>
      <c r="T83" s="30" t="s">
        <v>265</v>
      </c>
      <c r="U83" s="29">
        <v>7150</v>
      </c>
      <c r="V83" s="29">
        <v>29200</v>
      </c>
      <c r="W83" s="29">
        <f t="shared" si="8"/>
        <v>18175</v>
      </c>
      <c r="X83" s="30" t="s">
        <v>248</v>
      </c>
      <c r="Y83" s="30" t="s">
        <v>247</v>
      </c>
      <c r="Z83" s="30" t="s">
        <v>250</v>
      </c>
      <c r="AA83" s="30" t="s">
        <v>526</v>
      </c>
      <c r="AB83" s="30" t="s">
        <v>252</v>
      </c>
      <c r="AC83" s="30" t="s">
        <v>561</v>
      </c>
      <c r="AD83" s="9" t="s">
        <v>112</v>
      </c>
      <c r="AE83" s="9" t="s">
        <v>254</v>
      </c>
      <c r="AF83" s="9" t="s">
        <v>199</v>
      </c>
      <c r="AG83" s="9" t="s">
        <v>562</v>
      </c>
      <c r="AH83" s="9" t="s">
        <v>256</v>
      </c>
    </row>
    <row r="84" spans="1:34" ht="57" customHeight="1" x14ac:dyDescent="0.25">
      <c r="A84" s="38" t="s">
        <v>563</v>
      </c>
      <c r="B84" s="39" t="s">
        <v>183</v>
      </c>
      <c r="C84" s="29">
        <v>0.94399999999999995</v>
      </c>
      <c r="D84" s="29">
        <v>0.94399999999999995</v>
      </c>
      <c r="E84" s="29">
        <v>0.94399999999999995</v>
      </c>
      <c r="F84" s="29">
        <v>0.94399999999999995</v>
      </c>
      <c r="G84" s="29">
        <v>0.94399999999999995</v>
      </c>
      <c r="H84" s="29">
        <v>20</v>
      </c>
      <c r="I84" s="30"/>
      <c r="J84" s="30"/>
      <c r="K84" s="30"/>
      <c r="L84" s="30" t="s">
        <v>564</v>
      </c>
      <c r="M84" s="32" t="s">
        <v>273</v>
      </c>
      <c r="N84" s="29">
        <v>5</v>
      </c>
      <c r="O84" s="30" t="s">
        <v>248</v>
      </c>
      <c r="P84" s="29">
        <f t="shared" si="6"/>
        <v>0.94399999999999995</v>
      </c>
      <c r="Q84" s="29">
        <f t="shared" si="7"/>
        <v>5.6</v>
      </c>
      <c r="R84" s="30" t="s">
        <v>54</v>
      </c>
      <c r="S84" s="30" t="s">
        <v>54</v>
      </c>
      <c r="T84" s="30" t="s">
        <v>565</v>
      </c>
      <c r="U84" s="29">
        <v>21000</v>
      </c>
      <c r="V84" s="29">
        <v>69000</v>
      </c>
      <c r="W84" s="29">
        <f t="shared" si="8"/>
        <v>45000</v>
      </c>
      <c r="X84" s="30" t="s">
        <v>319</v>
      </c>
      <c r="Y84" s="30" t="s">
        <v>247</v>
      </c>
      <c r="Z84" s="30" t="s">
        <v>250</v>
      </c>
      <c r="AA84" s="30" t="s">
        <v>275</v>
      </c>
      <c r="AB84" s="30" t="s">
        <v>252</v>
      </c>
      <c r="AC84" s="30" t="s">
        <v>566</v>
      </c>
      <c r="AD84" s="9" t="s">
        <v>112</v>
      </c>
      <c r="AE84" s="9" t="s">
        <v>261</v>
      </c>
      <c r="AF84" s="9" t="s">
        <v>199</v>
      </c>
      <c r="AG84" s="9" t="s">
        <v>567</v>
      </c>
      <c r="AH84" s="9" t="s">
        <v>256</v>
      </c>
    </row>
    <row r="85" spans="1:34" ht="90.75" customHeight="1" x14ac:dyDescent="0.25">
      <c r="A85" s="38" t="s">
        <v>568</v>
      </c>
      <c r="B85" s="39" t="s">
        <v>183</v>
      </c>
      <c r="C85" s="29">
        <v>0.41199999999999998</v>
      </c>
      <c r="D85" s="29">
        <v>0.41199999999999998</v>
      </c>
      <c r="E85" s="29">
        <v>0.41199999999999998</v>
      </c>
      <c r="F85" s="29">
        <v>0.41199999999999998</v>
      </c>
      <c r="G85" s="29">
        <v>0.41199999999999998</v>
      </c>
      <c r="H85" s="29">
        <v>20</v>
      </c>
      <c r="I85" s="30"/>
      <c r="J85" s="30"/>
      <c r="K85" s="30"/>
      <c r="L85" s="30" t="s">
        <v>569</v>
      </c>
      <c r="M85" s="32" t="s">
        <v>273</v>
      </c>
      <c r="N85" s="29">
        <v>4</v>
      </c>
      <c r="O85" s="30" t="s">
        <v>54</v>
      </c>
      <c r="P85" s="29">
        <f t="shared" si="6"/>
        <v>0.41199999999999998</v>
      </c>
      <c r="Q85" s="29">
        <f t="shared" si="7"/>
        <v>58.8</v>
      </c>
      <c r="R85" s="30" t="s">
        <v>54</v>
      </c>
      <c r="S85" s="30" t="s">
        <v>522</v>
      </c>
      <c r="T85" s="30" t="s">
        <v>265</v>
      </c>
      <c r="U85" s="29">
        <v>2981</v>
      </c>
      <c r="V85" s="29">
        <v>18248</v>
      </c>
      <c r="W85" s="29">
        <f t="shared" si="8"/>
        <v>10615</v>
      </c>
      <c r="X85" s="30" t="s">
        <v>265</v>
      </c>
      <c r="Y85" s="30" t="s">
        <v>247</v>
      </c>
      <c r="Z85" s="30" t="s">
        <v>250</v>
      </c>
      <c r="AA85" s="30" t="s">
        <v>251</v>
      </c>
      <c r="AB85" s="30" t="s">
        <v>252</v>
      </c>
      <c r="AC85" s="30" t="s">
        <v>570</v>
      </c>
      <c r="AD85" s="9" t="s">
        <v>112</v>
      </c>
      <c r="AE85" s="9" t="s">
        <v>261</v>
      </c>
      <c r="AF85" s="9" t="s">
        <v>523</v>
      </c>
      <c r="AG85" s="9" t="s">
        <v>571</v>
      </c>
      <c r="AH85" s="9" t="s">
        <v>256</v>
      </c>
    </row>
    <row r="86" spans="1:34" ht="90.75" customHeight="1" x14ac:dyDescent="0.25">
      <c r="A86" s="38" t="s">
        <v>572</v>
      </c>
      <c r="B86" s="39" t="s">
        <v>183</v>
      </c>
      <c r="C86" s="29">
        <v>0.42</v>
      </c>
      <c r="D86" s="29">
        <v>0.42</v>
      </c>
      <c r="E86" s="29">
        <v>0.42</v>
      </c>
      <c r="F86" s="29">
        <v>0.42</v>
      </c>
      <c r="G86" s="29">
        <v>0.42</v>
      </c>
      <c r="H86" s="29">
        <v>20</v>
      </c>
      <c r="I86" s="30"/>
      <c r="J86" s="30"/>
      <c r="K86" s="30"/>
      <c r="L86" s="30" t="s">
        <v>573</v>
      </c>
      <c r="M86" s="32" t="s">
        <v>273</v>
      </c>
      <c r="N86" s="29">
        <v>4</v>
      </c>
      <c r="O86" s="30" t="s">
        <v>55</v>
      </c>
      <c r="P86" s="29">
        <f t="shared" si="6"/>
        <v>0.42</v>
      </c>
      <c r="Q86" s="29">
        <f t="shared" si="7"/>
        <v>58</v>
      </c>
      <c r="R86" s="30" t="s">
        <v>245</v>
      </c>
      <c r="S86" s="30" t="s">
        <v>54</v>
      </c>
      <c r="T86" s="30" t="s">
        <v>313</v>
      </c>
      <c r="U86" s="29">
        <v>1500</v>
      </c>
      <c r="V86" s="29">
        <v>32400</v>
      </c>
      <c r="W86" s="29">
        <f t="shared" si="8"/>
        <v>16950</v>
      </c>
      <c r="X86" s="30" t="s">
        <v>319</v>
      </c>
      <c r="Y86" s="30" t="s">
        <v>247</v>
      </c>
      <c r="Z86" s="30" t="s">
        <v>513</v>
      </c>
      <c r="AA86" s="30" t="s">
        <v>281</v>
      </c>
      <c r="AB86" s="30" t="s">
        <v>252</v>
      </c>
      <c r="AC86" s="30" t="s">
        <v>535</v>
      </c>
      <c r="AD86" s="9" t="s">
        <v>112</v>
      </c>
      <c r="AE86" s="9" t="s">
        <v>254</v>
      </c>
      <c r="AF86" s="9" t="s">
        <v>199</v>
      </c>
      <c r="AG86" s="9" t="s">
        <v>574</v>
      </c>
      <c r="AH86" s="9" t="s">
        <v>256</v>
      </c>
    </row>
    <row r="87" spans="1:34" ht="90.75" customHeight="1" x14ac:dyDescent="0.25">
      <c r="A87" s="38" t="s">
        <v>555</v>
      </c>
      <c r="B87" s="39" t="s">
        <v>183</v>
      </c>
      <c r="C87" s="29">
        <v>0.45</v>
      </c>
      <c r="D87" s="29">
        <v>0.45</v>
      </c>
      <c r="E87" s="29">
        <v>0.45</v>
      </c>
      <c r="F87" s="29">
        <v>0.45</v>
      </c>
      <c r="G87" s="29">
        <v>0.45</v>
      </c>
      <c r="H87" s="29">
        <v>20</v>
      </c>
      <c r="I87" s="30"/>
      <c r="J87" s="30"/>
      <c r="K87" s="30"/>
      <c r="L87" s="30" t="s">
        <v>575</v>
      </c>
      <c r="M87" s="32" t="s">
        <v>273</v>
      </c>
      <c r="N87" s="29">
        <v>4</v>
      </c>
      <c r="O87" s="30" t="s">
        <v>55</v>
      </c>
      <c r="P87" s="29">
        <f t="shared" si="6"/>
        <v>0.45</v>
      </c>
      <c r="Q87" s="29">
        <f t="shared" si="7"/>
        <v>55</v>
      </c>
      <c r="R87" s="30" t="s">
        <v>245</v>
      </c>
      <c r="S87" s="30" t="s">
        <v>54</v>
      </c>
      <c r="T87" s="30" t="s">
        <v>313</v>
      </c>
      <c r="U87" s="29">
        <v>1600</v>
      </c>
      <c r="V87" s="29">
        <v>32400</v>
      </c>
      <c r="W87" s="29">
        <f t="shared" si="8"/>
        <v>17000</v>
      </c>
      <c r="X87" s="30" t="s">
        <v>319</v>
      </c>
      <c r="Y87" s="30" t="s">
        <v>247</v>
      </c>
      <c r="Z87" s="30" t="s">
        <v>513</v>
      </c>
      <c r="AA87" s="30" t="s">
        <v>557</v>
      </c>
      <c r="AB87" s="30" t="s">
        <v>252</v>
      </c>
      <c r="AC87" s="30" t="s">
        <v>535</v>
      </c>
      <c r="AD87" s="9" t="s">
        <v>112</v>
      </c>
      <c r="AE87" s="9" t="s">
        <v>254</v>
      </c>
      <c r="AF87" s="9" t="s">
        <v>199</v>
      </c>
      <c r="AG87" s="9" t="s">
        <v>558</v>
      </c>
      <c r="AH87" s="9" t="s">
        <v>256</v>
      </c>
    </row>
    <row r="88" spans="1:34" ht="23.25" customHeight="1" x14ac:dyDescent="0.25">
      <c r="A88" s="38" t="s">
        <v>576</v>
      </c>
      <c r="B88" s="39" t="s">
        <v>183</v>
      </c>
      <c r="C88" s="29">
        <v>0.74</v>
      </c>
      <c r="D88" s="29">
        <v>0.74</v>
      </c>
      <c r="E88" s="29">
        <v>0.74</v>
      </c>
      <c r="F88" s="29">
        <v>0.74</v>
      </c>
      <c r="G88" s="29">
        <v>0.74</v>
      </c>
      <c r="H88" s="29">
        <v>20</v>
      </c>
      <c r="I88" s="30"/>
      <c r="J88" s="30"/>
      <c r="K88" s="30"/>
      <c r="L88" s="30" t="s">
        <v>577</v>
      </c>
      <c r="M88" s="32" t="s">
        <v>273</v>
      </c>
      <c r="N88" s="29">
        <v>4</v>
      </c>
      <c r="O88" s="30" t="s">
        <v>49</v>
      </c>
      <c r="P88" s="29">
        <f t="shared" si="6"/>
        <v>0.74</v>
      </c>
      <c r="Q88" s="29">
        <f t="shared" si="7"/>
        <v>26</v>
      </c>
      <c r="R88" s="30" t="s">
        <v>54</v>
      </c>
      <c r="S88" s="30" t="s">
        <v>193</v>
      </c>
      <c r="T88" s="30" t="s">
        <v>265</v>
      </c>
      <c r="U88" s="29" t="s">
        <v>247</v>
      </c>
      <c r="V88" s="29" t="s">
        <v>247</v>
      </c>
      <c r="W88" s="29" t="str">
        <f t="shared" si="8"/>
        <v>NR</v>
      </c>
      <c r="X88" s="30" t="s">
        <v>319</v>
      </c>
      <c r="Y88" s="30" t="s">
        <v>247</v>
      </c>
      <c r="Z88" s="30" t="s">
        <v>250</v>
      </c>
      <c r="AA88" s="30" t="s">
        <v>307</v>
      </c>
      <c r="AB88" s="30" t="s">
        <v>269</v>
      </c>
      <c r="AC88" s="30"/>
      <c r="AD88" s="9" t="s">
        <v>112</v>
      </c>
      <c r="AE88" s="9" t="s">
        <v>261</v>
      </c>
      <c r="AF88" s="9" t="s">
        <v>578</v>
      </c>
      <c r="AG88" s="9" t="s">
        <v>262</v>
      </c>
      <c r="AH88" s="9" t="s">
        <v>256</v>
      </c>
    </row>
    <row r="89" spans="1:34" ht="34.5" customHeight="1" x14ac:dyDescent="0.25">
      <c r="A89" s="38" t="s">
        <v>579</v>
      </c>
      <c r="B89" s="39" t="s">
        <v>185</v>
      </c>
      <c r="C89" s="29">
        <v>0.46300000000000002</v>
      </c>
      <c r="D89" s="29">
        <v>0.46300000000000002</v>
      </c>
      <c r="E89" s="29">
        <v>0.46300000000000002</v>
      </c>
      <c r="F89" s="29">
        <v>0.46300000000000002</v>
      </c>
      <c r="G89" s="29">
        <v>0.46300000000000002</v>
      </c>
      <c r="H89" s="29">
        <v>20</v>
      </c>
      <c r="I89" s="30"/>
      <c r="J89" s="30"/>
      <c r="K89" s="30"/>
      <c r="L89" s="30" t="s">
        <v>580</v>
      </c>
      <c r="M89" s="31" t="s">
        <v>244</v>
      </c>
      <c r="N89" s="29">
        <v>2</v>
      </c>
      <c r="O89" s="30" t="s">
        <v>55</v>
      </c>
      <c r="P89" s="29">
        <f t="shared" si="6"/>
        <v>0.46300000000000002</v>
      </c>
      <c r="Q89" s="29">
        <f t="shared" si="7"/>
        <v>53.7</v>
      </c>
      <c r="R89" s="30" t="s">
        <v>337</v>
      </c>
      <c r="S89" s="30" t="s">
        <v>54</v>
      </c>
      <c r="T89" s="30" t="s">
        <v>246</v>
      </c>
      <c r="U89" s="29">
        <v>10326</v>
      </c>
      <c r="V89" s="29">
        <v>26470</v>
      </c>
      <c r="W89" s="29">
        <f t="shared" si="8"/>
        <v>18398</v>
      </c>
      <c r="X89" s="30" t="s">
        <v>319</v>
      </c>
      <c r="Y89" s="30" t="s">
        <v>581</v>
      </c>
      <c r="Z89" s="30" t="s">
        <v>250</v>
      </c>
      <c r="AA89" s="30" t="s">
        <v>281</v>
      </c>
      <c r="AB89" s="30" t="s">
        <v>252</v>
      </c>
      <c r="AC89" s="30"/>
      <c r="AD89" s="9" t="s">
        <v>112</v>
      </c>
      <c r="AE89" s="9" t="s">
        <v>254</v>
      </c>
      <c r="AF89" s="9" t="s">
        <v>199</v>
      </c>
      <c r="AG89" s="9" t="s">
        <v>582</v>
      </c>
      <c r="AH89" s="9" t="s">
        <v>256</v>
      </c>
    </row>
    <row r="90" spans="1:34" ht="45.75" customHeight="1" x14ac:dyDescent="0.25">
      <c r="A90" s="38" t="s">
        <v>583</v>
      </c>
      <c r="B90" s="39" t="s">
        <v>185</v>
      </c>
      <c r="C90" s="29">
        <v>0.78</v>
      </c>
      <c r="D90" s="29">
        <v>0.78</v>
      </c>
      <c r="E90" s="29">
        <v>0.78</v>
      </c>
      <c r="F90" s="29">
        <v>0.78</v>
      </c>
      <c r="G90" s="29">
        <v>0.78</v>
      </c>
      <c r="H90" s="29">
        <v>20</v>
      </c>
      <c r="I90" s="30"/>
      <c r="J90" s="30"/>
      <c r="K90" s="30"/>
      <c r="L90" s="30" t="s">
        <v>584</v>
      </c>
      <c r="M90" s="31" t="s">
        <v>244</v>
      </c>
      <c r="N90" s="29">
        <v>3</v>
      </c>
      <c r="O90" s="30" t="s">
        <v>585</v>
      </c>
      <c r="P90" s="29">
        <f t="shared" si="6"/>
        <v>0.78</v>
      </c>
      <c r="Q90" s="29">
        <f t="shared" si="7"/>
        <v>22</v>
      </c>
      <c r="R90" s="30" t="s">
        <v>245</v>
      </c>
      <c r="S90" s="30" t="s">
        <v>54</v>
      </c>
      <c r="T90" s="30" t="s">
        <v>259</v>
      </c>
      <c r="U90" s="29" t="s">
        <v>247</v>
      </c>
      <c r="V90" s="29" t="s">
        <v>247</v>
      </c>
      <c r="W90" s="29" t="str">
        <f t="shared" si="8"/>
        <v>NR</v>
      </c>
      <c r="X90" s="30" t="s">
        <v>319</v>
      </c>
      <c r="Y90" s="30" t="s">
        <v>586</v>
      </c>
      <c r="Z90" s="30" t="s">
        <v>250</v>
      </c>
      <c r="AA90" s="30" t="s">
        <v>411</v>
      </c>
      <c r="AB90" s="30" t="s">
        <v>587</v>
      </c>
      <c r="AC90" s="30"/>
      <c r="AD90" s="9" t="s">
        <v>112</v>
      </c>
      <c r="AE90" s="9" t="s">
        <v>254</v>
      </c>
      <c r="AF90" s="9" t="s">
        <v>199</v>
      </c>
      <c r="AG90" s="9" t="s">
        <v>262</v>
      </c>
      <c r="AH90" s="9" t="s">
        <v>256</v>
      </c>
    </row>
    <row r="91" spans="1:34" ht="34.5" customHeight="1" x14ac:dyDescent="0.25">
      <c r="A91" s="38" t="s">
        <v>588</v>
      </c>
      <c r="B91" s="39" t="s">
        <v>185</v>
      </c>
      <c r="C91" s="29">
        <v>0.70289999999999997</v>
      </c>
      <c r="D91" s="29">
        <v>0.70289999999999997</v>
      </c>
      <c r="E91" s="29">
        <v>0.70289999999999997</v>
      </c>
      <c r="F91" s="29">
        <v>0.70289999999999997</v>
      </c>
      <c r="G91" s="29">
        <v>0.70289999999999997</v>
      </c>
      <c r="H91" s="29">
        <v>20</v>
      </c>
      <c r="I91" s="30"/>
      <c r="J91" s="30"/>
      <c r="K91" s="30"/>
      <c r="L91" s="30" t="s">
        <v>589</v>
      </c>
      <c r="M91" s="31" t="s">
        <v>244</v>
      </c>
      <c r="N91" s="29">
        <v>5</v>
      </c>
      <c r="O91" s="30" t="s">
        <v>312</v>
      </c>
      <c r="P91" s="29">
        <f t="shared" si="6"/>
        <v>0.70289999999999997</v>
      </c>
      <c r="Q91" s="29">
        <f t="shared" si="7"/>
        <v>29.7</v>
      </c>
      <c r="R91" s="30" t="s">
        <v>337</v>
      </c>
      <c r="S91" s="30" t="s">
        <v>54</v>
      </c>
      <c r="T91" s="30" t="s">
        <v>265</v>
      </c>
      <c r="U91" s="29">
        <v>19267</v>
      </c>
      <c r="V91" s="29">
        <v>72074</v>
      </c>
      <c r="W91" s="29">
        <f t="shared" si="8"/>
        <v>45671</v>
      </c>
      <c r="X91" s="30" t="s">
        <v>319</v>
      </c>
      <c r="Y91" s="30" t="s">
        <v>247</v>
      </c>
      <c r="Z91" s="30" t="s">
        <v>250</v>
      </c>
      <c r="AA91" s="30" t="s">
        <v>307</v>
      </c>
      <c r="AB91" s="30" t="s">
        <v>269</v>
      </c>
      <c r="AC91" s="30" t="s">
        <v>590</v>
      </c>
      <c r="AD91" s="9" t="s">
        <v>112</v>
      </c>
      <c r="AE91" s="9" t="s">
        <v>254</v>
      </c>
      <c r="AF91" s="9" t="s">
        <v>199</v>
      </c>
      <c r="AG91" s="9" t="s">
        <v>591</v>
      </c>
      <c r="AH91" s="9" t="s">
        <v>256</v>
      </c>
    </row>
    <row r="92" spans="1:34" ht="34.5" customHeight="1" x14ac:dyDescent="0.25">
      <c r="A92" s="38" t="s">
        <v>592</v>
      </c>
      <c r="B92" s="39" t="s">
        <v>185</v>
      </c>
      <c r="C92" s="29">
        <v>0.70599999999999996</v>
      </c>
      <c r="D92" s="29">
        <v>0.70599999999999996</v>
      </c>
      <c r="E92" s="29">
        <v>0.70599999999999996</v>
      </c>
      <c r="F92" s="29">
        <v>0.70599999999999996</v>
      </c>
      <c r="G92" s="29">
        <v>0.70599999999999996</v>
      </c>
      <c r="H92" s="29">
        <v>20</v>
      </c>
      <c r="I92" s="30"/>
      <c r="J92" s="30"/>
      <c r="K92" s="30"/>
      <c r="L92" s="30" t="s">
        <v>593</v>
      </c>
      <c r="M92" s="32" t="s">
        <v>273</v>
      </c>
      <c r="N92" s="29">
        <v>5</v>
      </c>
      <c r="O92" s="30" t="s">
        <v>54</v>
      </c>
      <c r="P92" s="29">
        <f t="shared" si="6"/>
        <v>0.70599999999999996</v>
      </c>
      <c r="Q92" s="29">
        <f t="shared" si="7"/>
        <v>29.4</v>
      </c>
      <c r="R92" s="30" t="s">
        <v>54</v>
      </c>
      <c r="S92" s="30" t="s">
        <v>193</v>
      </c>
      <c r="T92" s="30" t="s">
        <v>54</v>
      </c>
      <c r="U92" s="29">
        <v>21740</v>
      </c>
      <c r="V92" s="29">
        <v>64000</v>
      </c>
      <c r="W92" s="29">
        <f t="shared" si="8"/>
        <v>42870</v>
      </c>
      <c r="X92" s="30" t="s">
        <v>319</v>
      </c>
      <c r="Y92" s="30" t="s">
        <v>247</v>
      </c>
      <c r="Z92" s="30" t="s">
        <v>250</v>
      </c>
      <c r="AA92" s="30" t="s">
        <v>275</v>
      </c>
      <c r="AB92" s="30" t="s">
        <v>252</v>
      </c>
      <c r="AC92" s="30" t="s">
        <v>594</v>
      </c>
      <c r="AD92" s="9" t="s">
        <v>112</v>
      </c>
      <c r="AE92" s="9" t="s">
        <v>261</v>
      </c>
      <c r="AF92" s="9" t="s">
        <v>578</v>
      </c>
      <c r="AG92" s="9" t="s">
        <v>595</v>
      </c>
      <c r="AH92" s="9" t="s">
        <v>256</v>
      </c>
    </row>
    <row r="93" spans="1:34" ht="34.5" customHeight="1" x14ac:dyDescent="0.25">
      <c r="A93" s="38" t="s">
        <v>596</v>
      </c>
      <c r="B93" s="39" t="s">
        <v>185</v>
      </c>
      <c r="C93" s="29">
        <v>0.42</v>
      </c>
      <c r="D93" s="29">
        <v>0.42</v>
      </c>
      <c r="E93" s="29">
        <v>0.42</v>
      </c>
      <c r="F93" s="29">
        <v>0.42</v>
      </c>
      <c r="G93" s="29">
        <v>0.42</v>
      </c>
      <c r="H93" s="29">
        <v>20</v>
      </c>
      <c r="I93" s="30"/>
      <c r="J93" s="30"/>
      <c r="K93" s="30"/>
      <c r="L93" s="30" t="s">
        <v>597</v>
      </c>
      <c r="M93" s="32" t="s">
        <v>273</v>
      </c>
      <c r="N93" s="29">
        <v>4</v>
      </c>
      <c r="O93" s="30" t="s">
        <v>54</v>
      </c>
      <c r="P93" s="29">
        <f t="shared" si="6"/>
        <v>0.42</v>
      </c>
      <c r="Q93" s="29">
        <f t="shared" si="7"/>
        <v>58</v>
      </c>
      <c r="R93" s="30" t="s">
        <v>54</v>
      </c>
      <c r="S93" s="30" t="s">
        <v>54</v>
      </c>
      <c r="T93" s="30" t="s">
        <v>265</v>
      </c>
      <c r="U93" s="29">
        <v>59833</v>
      </c>
      <c r="V93" s="29">
        <v>59833</v>
      </c>
      <c r="W93" s="29">
        <f t="shared" si="8"/>
        <v>59833</v>
      </c>
      <c r="X93" s="30" t="s">
        <v>319</v>
      </c>
      <c r="Y93" s="30" t="s">
        <v>247</v>
      </c>
      <c r="Z93" s="30" t="s">
        <v>250</v>
      </c>
      <c r="AA93" s="30" t="s">
        <v>297</v>
      </c>
      <c r="AB93" s="30" t="s">
        <v>252</v>
      </c>
      <c r="AC93" s="30" t="s">
        <v>598</v>
      </c>
      <c r="AD93" s="9" t="s">
        <v>112</v>
      </c>
      <c r="AE93" s="9" t="s">
        <v>261</v>
      </c>
      <c r="AF93" s="9" t="s">
        <v>199</v>
      </c>
      <c r="AG93" s="9" t="s">
        <v>599</v>
      </c>
      <c r="AH93" s="9" t="s">
        <v>256</v>
      </c>
    </row>
    <row r="94" spans="1:34" ht="34.5" customHeight="1" x14ac:dyDescent="0.25">
      <c r="A94" s="38" t="s">
        <v>600</v>
      </c>
      <c r="B94" s="39" t="s">
        <v>185</v>
      </c>
      <c r="C94" s="29">
        <v>0.1719</v>
      </c>
      <c r="D94" s="29">
        <v>0.1719</v>
      </c>
      <c r="E94" s="29">
        <v>0.1719</v>
      </c>
      <c r="F94" s="29">
        <v>0.1719</v>
      </c>
      <c r="G94" s="29">
        <v>0.1719</v>
      </c>
      <c r="H94" s="29">
        <v>20</v>
      </c>
      <c r="I94" s="30"/>
      <c r="J94" s="30"/>
      <c r="K94" s="30"/>
      <c r="L94" s="30" t="s">
        <v>601</v>
      </c>
      <c r="M94" s="32" t="s">
        <v>273</v>
      </c>
      <c r="N94" s="29">
        <v>5</v>
      </c>
      <c r="O94" s="30" t="s">
        <v>312</v>
      </c>
      <c r="P94" s="29">
        <f t="shared" si="6"/>
        <v>0.1719</v>
      </c>
      <c r="Q94" s="29">
        <f t="shared" si="7"/>
        <v>82.8</v>
      </c>
      <c r="R94" s="30" t="s">
        <v>54</v>
      </c>
      <c r="S94" s="30" t="s">
        <v>442</v>
      </c>
      <c r="T94" s="30" t="s">
        <v>265</v>
      </c>
      <c r="U94" s="29">
        <v>25512</v>
      </c>
      <c r="V94" s="29">
        <v>85076</v>
      </c>
      <c r="W94" s="29">
        <f t="shared" si="8"/>
        <v>55294</v>
      </c>
      <c r="X94" s="30" t="s">
        <v>319</v>
      </c>
      <c r="Y94" s="30" t="s">
        <v>247</v>
      </c>
      <c r="Z94" s="30" t="s">
        <v>250</v>
      </c>
      <c r="AA94" s="30" t="s">
        <v>307</v>
      </c>
      <c r="AB94" s="30" t="s">
        <v>269</v>
      </c>
      <c r="AC94" s="30" t="s">
        <v>602</v>
      </c>
      <c r="AD94" s="9" t="s">
        <v>112</v>
      </c>
      <c r="AE94" s="9" t="s">
        <v>261</v>
      </c>
      <c r="AF94" s="9" t="s">
        <v>444</v>
      </c>
      <c r="AG94" s="9" t="s">
        <v>603</v>
      </c>
      <c r="AH94" s="9" t="s">
        <v>256</v>
      </c>
    </row>
    <row r="95" spans="1:34" ht="45.75" customHeight="1" x14ac:dyDescent="0.25">
      <c r="A95" s="38" t="s">
        <v>604</v>
      </c>
      <c r="B95" s="39" t="s">
        <v>187</v>
      </c>
      <c r="C95" s="29">
        <v>0.86199999999999999</v>
      </c>
      <c r="D95" s="29">
        <v>0.86199999999999999</v>
      </c>
      <c r="E95" s="29">
        <v>0.86199999999999999</v>
      </c>
      <c r="F95" s="29">
        <v>0.86199999999999999</v>
      </c>
      <c r="G95" s="29">
        <v>0.86199999999999999</v>
      </c>
      <c r="H95" s="29">
        <v>20</v>
      </c>
      <c r="I95" s="30"/>
      <c r="J95" s="30"/>
      <c r="K95" s="30"/>
      <c r="L95" s="30" t="s">
        <v>605</v>
      </c>
      <c r="M95" s="32" t="s">
        <v>273</v>
      </c>
      <c r="N95" s="29">
        <v>5</v>
      </c>
      <c r="O95" s="30" t="s">
        <v>49</v>
      </c>
      <c r="P95" s="29">
        <f t="shared" si="6"/>
        <v>0.86199999999999999</v>
      </c>
      <c r="Q95" s="29">
        <f t="shared" si="7"/>
        <v>13.8</v>
      </c>
      <c r="R95" s="30" t="s">
        <v>54</v>
      </c>
      <c r="S95" s="30" t="s">
        <v>606</v>
      </c>
      <c r="T95" s="30" t="s">
        <v>265</v>
      </c>
      <c r="U95" s="29">
        <v>4857</v>
      </c>
      <c r="V95" s="29">
        <v>74990</v>
      </c>
      <c r="W95" s="29">
        <f t="shared" si="8"/>
        <v>39924</v>
      </c>
      <c r="X95" s="30" t="s">
        <v>319</v>
      </c>
      <c r="Y95" s="30" t="s">
        <v>247</v>
      </c>
      <c r="Z95" s="30" t="s">
        <v>250</v>
      </c>
      <c r="AA95" s="30" t="s">
        <v>251</v>
      </c>
      <c r="AB95" s="30" t="s">
        <v>252</v>
      </c>
      <c r="AC95" s="30" t="s">
        <v>607</v>
      </c>
      <c r="AD95" s="9" t="s">
        <v>112</v>
      </c>
      <c r="AE95" s="9" t="s">
        <v>261</v>
      </c>
      <c r="AF95" s="9" t="s">
        <v>608</v>
      </c>
      <c r="AG95" s="9" t="s">
        <v>609</v>
      </c>
      <c r="AH95" s="9" t="s">
        <v>256</v>
      </c>
    </row>
    <row r="96" spans="1:34" ht="45.75" customHeight="1" x14ac:dyDescent="0.25">
      <c r="A96" s="38" t="s">
        <v>610</v>
      </c>
      <c r="B96" s="39" t="s">
        <v>187</v>
      </c>
      <c r="C96" s="29">
        <v>0.94199999999999995</v>
      </c>
      <c r="D96" s="29">
        <v>0.94199999999999995</v>
      </c>
      <c r="E96" s="29">
        <v>0.94199999999999995</v>
      </c>
      <c r="F96" s="29">
        <v>0.94199999999999995</v>
      </c>
      <c r="G96" s="29">
        <v>0.94199999999999995</v>
      </c>
      <c r="H96" s="29">
        <v>20</v>
      </c>
      <c r="I96" s="30"/>
      <c r="J96" s="30"/>
      <c r="K96" s="30"/>
      <c r="L96" s="30" t="s">
        <v>611</v>
      </c>
      <c r="M96" s="32" t="s">
        <v>273</v>
      </c>
      <c r="N96" s="29">
        <v>5</v>
      </c>
      <c r="O96" s="30" t="s">
        <v>248</v>
      </c>
      <c r="P96" s="29">
        <f t="shared" si="6"/>
        <v>0.94199999999999995</v>
      </c>
      <c r="Q96" s="29">
        <f t="shared" si="7"/>
        <v>5.8</v>
      </c>
      <c r="R96" s="30" t="s">
        <v>245</v>
      </c>
      <c r="S96" s="30" t="s">
        <v>442</v>
      </c>
      <c r="T96" s="30" t="s">
        <v>54</v>
      </c>
      <c r="U96" s="29" t="s">
        <v>247</v>
      </c>
      <c r="V96" s="29" t="s">
        <v>247</v>
      </c>
      <c r="W96" s="29" t="str">
        <f t="shared" si="8"/>
        <v>NR</v>
      </c>
      <c r="X96" s="30" t="s">
        <v>319</v>
      </c>
      <c r="Y96" s="30" t="s">
        <v>247</v>
      </c>
      <c r="Z96" s="30" t="s">
        <v>250</v>
      </c>
      <c r="AA96" s="30" t="s">
        <v>251</v>
      </c>
      <c r="AB96" s="30" t="s">
        <v>252</v>
      </c>
      <c r="AC96" s="30" t="s">
        <v>612</v>
      </c>
      <c r="AD96" s="9" t="s">
        <v>112</v>
      </c>
      <c r="AE96" s="9" t="s">
        <v>254</v>
      </c>
      <c r="AF96" s="9" t="s">
        <v>444</v>
      </c>
      <c r="AG96" s="9" t="s">
        <v>262</v>
      </c>
      <c r="AH96" s="9" t="s">
        <v>256</v>
      </c>
    </row>
    <row r="97" spans="1:34" ht="57" customHeight="1" x14ac:dyDescent="0.25">
      <c r="A97" s="38" t="s">
        <v>613</v>
      </c>
      <c r="B97" s="39" t="s">
        <v>187</v>
      </c>
      <c r="C97" s="29">
        <v>0.4</v>
      </c>
      <c r="D97" s="29">
        <v>0.4</v>
      </c>
      <c r="E97" s="29">
        <v>0.4</v>
      </c>
      <c r="F97" s="29">
        <v>0.4</v>
      </c>
      <c r="G97" s="29">
        <v>0.4</v>
      </c>
      <c r="H97" s="29">
        <v>20</v>
      </c>
      <c r="I97" s="30"/>
      <c r="J97" s="30"/>
      <c r="K97" s="30"/>
      <c r="L97" s="30" t="s">
        <v>614</v>
      </c>
      <c r="M97" s="32" t="s">
        <v>273</v>
      </c>
      <c r="N97" s="29">
        <v>4</v>
      </c>
      <c r="O97" s="30" t="s">
        <v>312</v>
      </c>
      <c r="P97" s="29">
        <f t="shared" si="6"/>
        <v>0.4</v>
      </c>
      <c r="Q97" s="29">
        <f t="shared" si="7"/>
        <v>60</v>
      </c>
      <c r="R97" s="30" t="s">
        <v>54</v>
      </c>
      <c r="S97" s="30" t="s">
        <v>522</v>
      </c>
      <c r="T97" s="30" t="s">
        <v>54</v>
      </c>
      <c r="U97" s="29" t="s">
        <v>247</v>
      </c>
      <c r="V97" s="29" t="s">
        <v>247</v>
      </c>
      <c r="W97" s="29" t="str">
        <f t="shared" si="8"/>
        <v>NR</v>
      </c>
      <c r="X97" s="30" t="s">
        <v>319</v>
      </c>
      <c r="Y97" s="30" t="s">
        <v>247</v>
      </c>
      <c r="Z97" s="30" t="s">
        <v>250</v>
      </c>
      <c r="AA97" s="30" t="s">
        <v>458</v>
      </c>
      <c r="AB97" s="30" t="s">
        <v>252</v>
      </c>
      <c r="AC97" s="30" t="s">
        <v>615</v>
      </c>
      <c r="AD97" s="9" t="s">
        <v>112</v>
      </c>
      <c r="AE97" s="9" t="s">
        <v>261</v>
      </c>
      <c r="AF97" s="9" t="s">
        <v>523</v>
      </c>
      <c r="AG97" s="9" t="s">
        <v>262</v>
      </c>
      <c r="AH97" s="9" t="s">
        <v>256</v>
      </c>
    </row>
    <row r="98" spans="1:34" ht="34.5" customHeight="1" x14ac:dyDescent="0.25">
      <c r="A98" s="38" t="s">
        <v>616</v>
      </c>
      <c r="B98" s="39" t="s">
        <v>187</v>
      </c>
      <c r="C98" s="29">
        <v>0.63500000000000001</v>
      </c>
      <c r="D98" s="29">
        <v>0.63500000000000001</v>
      </c>
      <c r="E98" s="29">
        <v>0.63500000000000001</v>
      </c>
      <c r="F98" s="29">
        <v>0.63500000000000001</v>
      </c>
      <c r="G98" s="29">
        <v>0.63500000000000001</v>
      </c>
      <c r="H98" s="29">
        <v>20</v>
      </c>
      <c r="I98" s="30"/>
      <c r="J98" s="30"/>
      <c r="K98" s="30"/>
      <c r="L98" s="30" t="s">
        <v>617</v>
      </c>
      <c r="M98" s="32" t="s">
        <v>273</v>
      </c>
      <c r="N98" s="29">
        <v>4</v>
      </c>
      <c r="O98" s="30" t="s">
        <v>49</v>
      </c>
      <c r="P98" s="29">
        <f t="shared" si="6"/>
        <v>0.63500000000000001</v>
      </c>
      <c r="Q98" s="29">
        <f t="shared" si="7"/>
        <v>36.5</v>
      </c>
      <c r="R98" s="30" t="s">
        <v>54</v>
      </c>
      <c r="S98" s="30" t="s">
        <v>606</v>
      </c>
      <c r="T98" s="30" t="s">
        <v>313</v>
      </c>
      <c r="U98" s="29">
        <v>8260</v>
      </c>
      <c r="V98" s="29">
        <v>43000</v>
      </c>
      <c r="W98" s="29">
        <f t="shared" si="8"/>
        <v>25630</v>
      </c>
      <c r="X98" s="30" t="s">
        <v>319</v>
      </c>
      <c r="Y98" s="30" t="s">
        <v>247</v>
      </c>
      <c r="Z98" s="30" t="s">
        <v>250</v>
      </c>
      <c r="AA98" s="30" t="s">
        <v>297</v>
      </c>
      <c r="AB98" s="30" t="s">
        <v>252</v>
      </c>
      <c r="AC98" s="30"/>
      <c r="AD98" s="9" t="s">
        <v>112</v>
      </c>
      <c r="AE98" s="9" t="s">
        <v>261</v>
      </c>
      <c r="AF98" s="9" t="s">
        <v>608</v>
      </c>
      <c r="AG98" s="9" t="s">
        <v>618</v>
      </c>
      <c r="AH98" s="9" t="s">
        <v>256</v>
      </c>
    </row>
    <row r="99" spans="1:34" ht="34.5" customHeight="1" x14ac:dyDescent="0.25">
      <c r="A99" s="38" t="s">
        <v>619</v>
      </c>
      <c r="B99" s="39" t="s">
        <v>187</v>
      </c>
      <c r="C99" s="29">
        <v>0.78700000000000003</v>
      </c>
      <c r="D99" s="29">
        <v>0.78700000000000003</v>
      </c>
      <c r="E99" s="29">
        <v>0.78700000000000003</v>
      </c>
      <c r="F99" s="29">
        <v>0.78700000000000003</v>
      </c>
      <c r="G99" s="29">
        <v>0.78700000000000003</v>
      </c>
      <c r="H99" s="29">
        <v>20</v>
      </c>
      <c r="I99" s="30"/>
      <c r="J99" s="30"/>
      <c r="K99" s="30"/>
      <c r="L99" s="30" t="s">
        <v>620</v>
      </c>
      <c r="M99" s="32" t="s">
        <v>273</v>
      </c>
      <c r="N99" s="29">
        <v>4</v>
      </c>
      <c r="O99" s="30" t="s">
        <v>49</v>
      </c>
      <c r="P99" s="29">
        <f t="shared" ref="P99:P135" si="9">C99</f>
        <v>0.78700000000000003</v>
      </c>
      <c r="Q99" s="29">
        <f t="shared" ref="Q99:Q130" si="10">IF(ISNUMBER(P99),ROUND((1-P99)*100,1),"NR")</f>
        <v>21.3</v>
      </c>
      <c r="R99" s="30" t="s">
        <v>54</v>
      </c>
      <c r="S99" s="30" t="s">
        <v>606</v>
      </c>
      <c r="T99" s="30" t="s">
        <v>313</v>
      </c>
      <c r="U99" s="29">
        <v>4857</v>
      </c>
      <c r="V99" s="29">
        <v>74990</v>
      </c>
      <c r="W99" s="29">
        <f t="shared" ref="W99:W130" si="11">IF(AND(ISNUMBER(U99),ISNUMBER(V99)),ROUND((U99+V99)/2,0),IF(ISNUMBER(U99),U99,IF(ISNUMBER(V99),V99,"NR")))</f>
        <v>39924</v>
      </c>
      <c r="X99" s="30" t="s">
        <v>319</v>
      </c>
      <c r="Y99" s="30" t="s">
        <v>247</v>
      </c>
      <c r="Z99" s="30" t="s">
        <v>250</v>
      </c>
      <c r="AA99" s="30" t="s">
        <v>297</v>
      </c>
      <c r="AB99" s="30" t="s">
        <v>252</v>
      </c>
      <c r="AC99" s="30"/>
      <c r="AD99" s="9" t="s">
        <v>112</v>
      </c>
      <c r="AE99" s="9" t="s">
        <v>261</v>
      </c>
      <c r="AF99" s="9" t="s">
        <v>608</v>
      </c>
      <c r="AG99" s="9" t="s">
        <v>609</v>
      </c>
      <c r="AH99" s="9" t="s">
        <v>256</v>
      </c>
    </row>
    <row r="100" spans="1:34" ht="45.75" customHeight="1" x14ac:dyDescent="0.25">
      <c r="A100" s="38" t="s">
        <v>621</v>
      </c>
      <c r="B100" s="39" t="s">
        <v>187</v>
      </c>
      <c r="C100" s="29">
        <v>0.85699999999999998</v>
      </c>
      <c r="D100" s="29">
        <v>0.85699999999999998</v>
      </c>
      <c r="E100" s="29">
        <v>0.85699999999999998</v>
      </c>
      <c r="F100" s="29">
        <v>0.85699999999999998</v>
      </c>
      <c r="G100" s="29">
        <v>0.85699999999999998</v>
      </c>
      <c r="H100" s="29">
        <v>20</v>
      </c>
      <c r="I100" s="30"/>
      <c r="J100" s="30"/>
      <c r="K100" s="30"/>
      <c r="L100" s="30" t="s">
        <v>622</v>
      </c>
      <c r="M100" s="32" t="s">
        <v>273</v>
      </c>
      <c r="N100" s="29">
        <v>4</v>
      </c>
      <c r="O100" s="30" t="s">
        <v>49</v>
      </c>
      <c r="P100" s="29">
        <f t="shared" si="9"/>
        <v>0.85699999999999998</v>
      </c>
      <c r="Q100" s="29">
        <f t="shared" si="10"/>
        <v>14.3</v>
      </c>
      <c r="R100" s="30" t="s">
        <v>54</v>
      </c>
      <c r="S100" s="30" t="s">
        <v>606</v>
      </c>
      <c r="T100" s="30" t="s">
        <v>54</v>
      </c>
      <c r="U100" s="29">
        <v>3250</v>
      </c>
      <c r="V100" s="29">
        <v>37500</v>
      </c>
      <c r="W100" s="29">
        <f t="shared" si="11"/>
        <v>20375</v>
      </c>
      <c r="X100" s="30" t="s">
        <v>63</v>
      </c>
      <c r="Y100" s="30" t="s">
        <v>247</v>
      </c>
      <c r="Z100" s="30" t="s">
        <v>250</v>
      </c>
      <c r="AA100" s="30" t="s">
        <v>251</v>
      </c>
      <c r="AB100" s="30" t="s">
        <v>252</v>
      </c>
      <c r="AC100" s="30" t="s">
        <v>623</v>
      </c>
      <c r="AD100" s="9" t="s">
        <v>112</v>
      </c>
      <c r="AE100" s="9" t="s">
        <v>261</v>
      </c>
      <c r="AF100" s="9" t="s">
        <v>608</v>
      </c>
      <c r="AG100" s="9" t="s">
        <v>624</v>
      </c>
      <c r="AH100" s="9" t="s">
        <v>256</v>
      </c>
    </row>
    <row r="101" spans="1:34" ht="34.5" customHeight="1" x14ac:dyDescent="0.25">
      <c r="A101" s="38" t="s">
        <v>625</v>
      </c>
      <c r="B101" s="39" t="s">
        <v>189</v>
      </c>
      <c r="C101" s="29">
        <v>0.18</v>
      </c>
      <c r="D101" s="29">
        <v>0.18</v>
      </c>
      <c r="E101" s="29">
        <v>0.18</v>
      </c>
      <c r="F101" s="29">
        <v>0.18</v>
      </c>
      <c r="G101" s="29">
        <v>0.18</v>
      </c>
      <c r="H101" s="29">
        <v>20</v>
      </c>
      <c r="I101" s="30"/>
      <c r="J101" s="30"/>
      <c r="K101" s="30"/>
      <c r="L101" s="30" t="s">
        <v>626</v>
      </c>
      <c r="M101" s="31" t="s">
        <v>244</v>
      </c>
      <c r="N101" s="29">
        <v>4</v>
      </c>
      <c r="O101" s="30" t="s">
        <v>55</v>
      </c>
      <c r="P101" s="29">
        <f t="shared" si="9"/>
        <v>0.18</v>
      </c>
      <c r="Q101" s="29">
        <f t="shared" si="10"/>
        <v>82</v>
      </c>
      <c r="R101" s="30" t="s">
        <v>337</v>
      </c>
      <c r="S101" s="30" t="s">
        <v>54</v>
      </c>
      <c r="T101" s="30" t="s">
        <v>265</v>
      </c>
      <c r="U101" s="29" t="s">
        <v>247</v>
      </c>
      <c r="V101" s="29" t="s">
        <v>247</v>
      </c>
      <c r="W101" s="29" t="str">
        <f t="shared" si="11"/>
        <v>NR</v>
      </c>
      <c r="X101" s="30" t="s">
        <v>319</v>
      </c>
      <c r="Y101" s="30" t="s">
        <v>247</v>
      </c>
      <c r="Z101" s="30" t="s">
        <v>250</v>
      </c>
      <c r="AA101" s="30" t="s">
        <v>297</v>
      </c>
      <c r="AB101" s="30" t="s">
        <v>252</v>
      </c>
      <c r="AC101" s="30"/>
      <c r="AD101" s="9" t="s">
        <v>112</v>
      </c>
      <c r="AE101" s="9" t="s">
        <v>254</v>
      </c>
      <c r="AF101" s="9" t="s">
        <v>199</v>
      </c>
      <c r="AG101" s="9" t="s">
        <v>262</v>
      </c>
      <c r="AH101" s="9" t="s">
        <v>256</v>
      </c>
    </row>
    <row r="102" spans="1:34" ht="34.5" customHeight="1" x14ac:dyDescent="0.25">
      <c r="A102" s="38" t="s">
        <v>627</v>
      </c>
      <c r="B102" s="39" t="s">
        <v>189</v>
      </c>
      <c r="C102" s="29">
        <v>0.22</v>
      </c>
      <c r="D102" s="29">
        <v>0.22</v>
      </c>
      <c r="E102" s="29">
        <v>0.22</v>
      </c>
      <c r="F102" s="29">
        <v>0.22</v>
      </c>
      <c r="G102" s="29">
        <v>0.22</v>
      </c>
      <c r="H102" s="29">
        <v>20</v>
      </c>
      <c r="I102" s="30"/>
      <c r="J102" s="30"/>
      <c r="K102" s="30"/>
      <c r="L102" s="30" t="s">
        <v>628</v>
      </c>
      <c r="M102" s="31" t="s">
        <v>244</v>
      </c>
      <c r="N102" s="29">
        <v>3</v>
      </c>
      <c r="O102" s="30" t="s">
        <v>54</v>
      </c>
      <c r="P102" s="29">
        <f t="shared" si="9"/>
        <v>0.22</v>
      </c>
      <c r="Q102" s="29">
        <f t="shared" si="10"/>
        <v>78</v>
      </c>
      <c r="R102" s="30" t="s">
        <v>337</v>
      </c>
      <c r="S102" s="30" t="s">
        <v>54</v>
      </c>
      <c r="T102" s="30" t="s">
        <v>313</v>
      </c>
      <c r="U102" s="29" t="s">
        <v>247</v>
      </c>
      <c r="V102" s="29" t="s">
        <v>247</v>
      </c>
      <c r="W102" s="29" t="str">
        <f t="shared" si="11"/>
        <v>NR</v>
      </c>
      <c r="X102" s="30" t="s">
        <v>319</v>
      </c>
      <c r="Y102" s="30" t="s">
        <v>247</v>
      </c>
      <c r="Z102" s="30" t="s">
        <v>513</v>
      </c>
      <c r="AA102" s="30" t="s">
        <v>281</v>
      </c>
      <c r="AB102" s="30" t="s">
        <v>252</v>
      </c>
      <c r="AC102" s="30" t="s">
        <v>341</v>
      </c>
      <c r="AD102" s="9" t="s">
        <v>112</v>
      </c>
      <c r="AE102" s="9" t="s">
        <v>254</v>
      </c>
      <c r="AF102" s="9" t="s">
        <v>199</v>
      </c>
      <c r="AG102" s="9" t="s">
        <v>262</v>
      </c>
      <c r="AH102" s="9" t="s">
        <v>256</v>
      </c>
    </row>
    <row r="103" spans="1:34" ht="45.75" customHeight="1" x14ac:dyDescent="0.25">
      <c r="A103" s="38" t="s">
        <v>627</v>
      </c>
      <c r="B103" s="39" t="s">
        <v>189</v>
      </c>
      <c r="C103" s="29">
        <v>0.25900000000000001</v>
      </c>
      <c r="D103" s="29">
        <v>0.25900000000000001</v>
      </c>
      <c r="E103" s="29">
        <v>0.25900000000000001</v>
      </c>
      <c r="F103" s="29">
        <v>0.25900000000000001</v>
      </c>
      <c r="G103" s="29">
        <v>0.25900000000000001</v>
      </c>
      <c r="H103" s="29">
        <v>20</v>
      </c>
      <c r="I103" s="30"/>
      <c r="J103" s="30"/>
      <c r="K103" s="30"/>
      <c r="L103" s="30" t="s">
        <v>629</v>
      </c>
      <c r="M103" s="32" t="s">
        <v>273</v>
      </c>
      <c r="N103" s="29">
        <v>4</v>
      </c>
      <c r="O103" s="30" t="s">
        <v>585</v>
      </c>
      <c r="P103" s="29">
        <f t="shared" si="9"/>
        <v>0.25900000000000001</v>
      </c>
      <c r="Q103" s="29">
        <f t="shared" si="10"/>
        <v>74.099999999999994</v>
      </c>
      <c r="R103" s="30" t="s">
        <v>245</v>
      </c>
      <c r="S103" s="30" t="s">
        <v>54</v>
      </c>
      <c r="T103" s="30" t="s">
        <v>265</v>
      </c>
      <c r="U103" s="29">
        <v>5322</v>
      </c>
      <c r="V103" s="29">
        <v>43123</v>
      </c>
      <c r="W103" s="29">
        <f t="shared" si="11"/>
        <v>24223</v>
      </c>
      <c r="X103" s="30" t="s">
        <v>319</v>
      </c>
      <c r="Y103" s="30" t="s">
        <v>247</v>
      </c>
      <c r="Z103" s="30" t="s">
        <v>250</v>
      </c>
      <c r="AA103" s="30" t="s">
        <v>526</v>
      </c>
      <c r="AB103" s="30" t="s">
        <v>252</v>
      </c>
      <c r="AC103" s="30" t="s">
        <v>630</v>
      </c>
      <c r="AD103" s="9" t="s">
        <v>112</v>
      </c>
      <c r="AE103" s="9" t="s">
        <v>254</v>
      </c>
      <c r="AF103" s="9" t="s">
        <v>199</v>
      </c>
      <c r="AG103" s="9" t="s">
        <v>631</v>
      </c>
      <c r="AH103" s="9" t="s">
        <v>256</v>
      </c>
    </row>
    <row r="104" spans="1:34" ht="34.5" customHeight="1" x14ac:dyDescent="0.25">
      <c r="A104" s="38" t="s">
        <v>632</v>
      </c>
      <c r="B104" s="39" t="s">
        <v>189</v>
      </c>
      <c r="C104" s="29">
        <v>0.59770000000000001</v>
      </c>
      <c r="D104" s="29">
        <v>0.59770000000000001</v>
      </c>
      <c r="E104" s="29">
        <v>0.59770000000000001</v>
      </c>
      <c r="F104" s="29">
        <v>0.59770000000000001</v>
      </c>
      <c r="G104" s="29">
        <v>0.59770000000000001</v>
      </c>
      <c r="H104" s="29">
        <v>20</v>
      </c>
      <c r="I104" s="30"/>
      <c r="J104" s="30"/>
      <c r="K104" s="30"/>
      <c r="L104" s="30" t="s">
        <v>633</v>
      </c>
      <c r="M104" s="32" t="s">
        <v>273</v>
      </c>
      <c r="N104" s="29">
        <v>4</v>
      </c>
      <c r="O104" s="30" t="s">
        <v>312</v>
      </c>
      <c r="P104" s="29">
        <f t="shared" si="9"/>
        <v>0.59770000000000001</v>
      </c>
      <c r="Q104" s="29">
        <f t="shared" si="10"/>
        <v>40.200000000000003</v>
      </c>
      <c r="R104" s="30" t="s">
        <v>292</v>
      </c>
      <c r="S104" s="30" t="s">
        <v>54</v>
      </c>
      <c r="T104" s="30" t="s">
        <v>265</v>
      </c>
      <c r="U104" s="29">
        <v>643</v>
      </c>
      <c r="V104" s="29">
        <v>15138</v>
      </c>
      <c r="W104" s="29">
        <f t="shared" si="11"/>
        <v>7891</v>
      </c>
      <c r="X104" s="30" t="s">
        <v>319</v>
      </c>
      <c r="Y104" s="30" t="s">
        <v>634</v>
      </c>
      <c r="Z104" s="30" t="s">
        <v>250</v>
      </c>
      <c r="AA104" s="30" t="s">
        <v>635</v>
      </c>
      <c r="AB104" s="30" t="s">
        <v>252</v>
      </c>
      <c r="AC104" s="30" t="s">
        <v>636</v>
      </c>
      <c r="AD104" s="9" t="s">
        <v>112</v>
      </c>
      <c r="AE104" s="9" t="s">
        <v>293</v>
      </c>
      <c r="AF104" s="9" t="s">
        <v>199</v>
      </c>
      <c r="AG104" s="9" t="s">
        <v>637</v>
      </c>
      <c r="AH104" s="9" t="s">
        <v>256</v>
      </c>
    </row>
    <row r="105" spans="1:34" ht="23.25" customHeight="1" x14ac:dyDescent="0.25">
      <c r="A105" s="38" t="s">
        <v>638</v>
      </c>
      <c r="B105" s="39" t="s">
        <v>189</v>
      </c>
      <c r="C105" s="29">
        <v>0.28000000000000003</v>
      </c>
      <c r="D105" s="29">
        <v>0.28000000000000003</v>
      </c>
      <c r="E105" s="29">
        <v>0.28000000000000003</v>
      </c>
      <c r="F105" s="29">
        <v>0.28000000000000003</v>
      </c>
      <c r="G105" s="29">
        <v>0.28000000000000003</v>
      </c>
      <c r="H105" s="29">
        <v>20</v>
      </c>
      <c r="I105" s="30"/>
      <c r="J105" s="30"/>
      <c r="K105" s="30"/>
      <c r="L105" s="30" t="s">
        <v>639</v>
      </c>
      <c r="M105" s="32" t="s">
        <v>273</v>
      </c>
      <c r="N105" s="29">
        <v>5</v>
      </c>
      <c r="O105" s="30" t="s">
        <v>265</v>
      </c>
      <c r="P105" s="29">
        <f t="shared" si="9"/>
        <v>0.28000000000000003</v>
      </c>
      <c r="Q105" s="29">
        <f t="shared" si="10"/>
        <v>72</v>
      </c>
      <c r="R105" s="30" t="s">
        <v>640</v>
      </c>
      <c r="S105" s="30" t="s">
        <v>54</v>
      </c>
      <c r="T105" s="30" t="s">
        <v>265</v>
      </c>
      <c r="U105" s="29" t="s">
        <v>247</v>
      </c>
      <c r="V105" s="29" t="s">
        <v>247</v>
      </c>
      <c r="W105" s="29" t="str">
        <f t="shared" si="11"/>
        <v>NR</v>
      </c>
      <c r="X105" s="30" t="s">
        <v>265</v>
      </c>
      <c r="Y105" s="30" t="s">
        <v>247</v>
      </c>
      <c r="Z105" s="30" t="s">
        <v>250</v>
      </c>
      <c r="AA105" s="30" t="s">
        <v>641</v>
      </c>
      <c r="AB105" s="30" t="s">
        <v>642</v>
      </c>
      <c r="AC105" s="30" t="s">
        <v>643</v>
      </c>
      <c r="AD105" s="9" t="s">
        <v>112</v>
      </c>
      <c r="AE105" s="9" t="s">
        <v>254</v>
      </c>
      <c r="AF105" s="9" t="s">
        <v>199</v>
      </c>
      <c r="AG105" s="9" t="s">
        <v>262</v>
      </c>
      <c r="AH105" s="9" t="s">
        <v>256</v>
      </c>
    </row>
    <row r="106" spans="1:34" ht="79.5" customHeight="1" x14ac:dyDescent="0.25">
      <c r="A106" s="38" t="s">
        <v>644</v>
      </c>
      <c r="B106" s="39" t="s">
        <v>189</v>
      </c>
      <c r="C106" s="29">
        <v>0.21</v>
      </c>
      <c r="D106" s="29">
        <v>0.21</v>
      </c>
      <c r="E106" s="29">
        <v>0.21</v>
      </c>
      <c r="F106" s="29">
        <v>0.21</v>
      </c>
      <c r="G106" s="29">
        <v>0.21</v>
      </c>
      <c r="H106" s="29">
        <v>20</v>
      </c>
      <c r="I106" s="30"/>
      <c r="J106" s="30"/>
      <c r="K106" s="30"/>
      <c r="L106" s="30" t="s">
        <v>645</v>
      </c>
      <c r="M106" s="32" t="s">
        <v>273</v>
      </c>
      <c r="N106" s="29">
        <v>4</v>
      </c>
      <c r="O106" s="30" t="s">
        <v>54</v>
      </c>
      <c r="P106" s="29">
        <f t="shared" si="9"/>
        <v>0.21</v>
      </c>
      <c r="Q106" s="29">
        <f t="shared" si="10"/>
        <v>79</v>
      </c>
      <c r="R106" s="30" t="s">
        <v>245</v>
      </c>
      <c r="S106" s="30" t="s">
        <v>54</v>
      </c>
      <c r="T106" s="30" t="s">
        <v>54</v>
      </c>
      <c r="U106" s="29">
        <v>2000</v>
      </c>
      <c r="V106" s="29">
        <v>12500</v>
      </c>
      <c r="W106" s="29">
        <f t="shared" si="11"/>
        <v>7250</v>
      </c>
      <c r="X106" s="30" t="s">
        <v>319</v>
      </c>
      <c r="Y106" s="30" t="s">
        <v>646</v>
      </c>
      <c r="Z106" s="30" t="s">
        <v>250</v>
      </c>
      <c r="AA106" s="30" t="s">
        <v>458</v>
      </c>
      <c r="AB106" s="30" t="s">
        <v>252</v>
      </c>
      <c r="AC106" s="30" t="s">
        <v>289</v>
      </c>
      <c r="AD106" s="9" t="s">
        <v>112</v>
      </c>
      <c r="AE106" s="9" t="s">
        <v>254</v>
      </c>
      <c r="AF106" s="9" t="s">
        <v>199</v>
      </c>
      <c r="AG106" s="9" t="s">
        <v>647</v>
      </c>
      <c r="AH106" s="9" t="s">
        <v>256</v>
      </c>
    </row>
    <row r="107" spans="1:34" ht="34.5" customHeight="1" x14ac:dyDescent="0.25">
      <c r="A107" s="38" t="s">
        <v>648</v>
      </c>
      <c r="B107" s="39" t="s">
        <v>189</v>
      </c>
      <c r="C107" s="29">
        <v>0.26</v>
      </c>
      <c r="D107" s="29">
        <v>0.26</v>
      </c>
      <c r="E107" s="29">
        <v>0.26</v>
      </c>
      <c r="F107" s="29">
        <v>0.26</v>
      </c>
      <c r="G107" s="29">
        <v>0.26</v>
      </c>
      <c r="H107" s="29">
        <v>20</v>
      </c>
      <c r="I107" s="30"/>
      <c r="J107" s="30"/>
      <c r="K107" s="30"/>
      <c r="L107" s="30" t="s">
        <v>649</v>
      </c>
      <c r="M107" s="32" t="s">
        <v>273</v>
      </c>
      <c r="N107" s="29">
        <v>4</v>
      </c>
      <c r="O107" s="30" t="s">
        <v>49</v>
      </c>
      <c r="P107" s="29">
        <f t="shared" si="9"/>
        <v>0.26</v>
      </c>
      <c r="Q107" s="29">
        <f t="shared" si="10"/>
        <v>74</v>
      </c>
      <c r="R107" s="30" t="s">
        <v>337</v>
      </c>
      <c r="S107" s="30" t="s">
        <v>54</v>
      </c>
      <c r="T107" s="30" t="s">
        <v>265</v>
      </c>
      <c r="U107" s="29" t="s">
        <v>247</v>
      </c>
      <c r="V107" s="29" t="s">
        <v>247</v>
      </c>
      <c r="W107" s="29" t="str">
        <f t="shared" si="11"/>
        <v>NR</v>
      </c>
      <c r="X107" s="30" t="s">
        <v>319</v>
      </c>
      <c r="Y107" s="30" t="s">
        <v>247</v>
      </c>
      <c r="Z107" s="30" t="s">
        <v>250</v>
      </c>
      <c r="AA107" s="30" t="s">
        <v>297</v>
      </c>
      <c r="AB107" s="30" t="s">
        <v>252</v>
      </c>
      <c r="AC107" s="30"/>
      <c r="AD107" s="9" t="s">
        <v>112</v>
      </c>
      <c r="AE107" s="9" t="s">
        <v>254</v>
      </c>
      <c r="AF107" s="9" t="s">
        <v>199</v>
      </c>
      <c r="AG107" s="9" t="s">
        <v>262</v>
      </c>
      <c r="AH107" s="9" t="s">
        <v>256</v>
      </c>
    </row>
    <row r="108" spans="1:34" ht="34.5" customHeight="1" x14ac:dyDescent="0.25">
      <c r="A108" s="38" t="s">
        <v>625</v>
      </c>
      <c r="B108" s="39" t="s">
        <v>189</v>
      </c>
      <c r="C108" s="29">
        <v>0.28000000000000003</v>
      </c>
      <c r="D108" s="29">
        <v>0.28000000000000003</v>
      </c>
      <c r="E108" s="29">
        <v>0.28000000000000003</v>
      </c>
      <c r="F108" s="29">
        <v>0.28000000000000003</v>
      </c>
      <c r="G108" s="29">
        <v>0.28000000000000003</v>
      </c>
      <c r="H108" s="29">
        <v>20</v>
      </c>
      <c r="I108" s="30"/>
      <c r="J108" s="30"/>
      <c r="K108" s="30"/>
      <c r="L108" s="30" t="s">
        <v>650</v>
      </c>
      <c r="M108" s="32" t="s">
        <v>273</v>
      </c>
      <c r="N108" s="29">
        <v>4</v>
      </c>
      <c r="O108" s="30" t="s">
        <v>49</v>
      </c>
      <c r="P108" s="29">
        <f t="shared" si="9"/>
        <v>0.28000000000000003</v>
      </c>
      <c r="Q108" s="29">
        <f t="shared" si="10"/>
        <v>72</v>
      </c>
      <c r="R108" s="30" t="s">
        <v>54</v>
      </c>
      <c r="S108" s="30" t="s">
        <v>54</v>
      </c>
      <c r="T108" s="30" t="s">
        <v>265</v>
      </c>
      <c r="U108" s="29" t="s">
        <v>247</v>
      </c>
      <c r="V108" s="29" t="s">
        <v>247</v>
      </c>
      <c r="W108" s="29" t="str">
        <f t="shared" si="11"/>
        <v>NR</v>
      </c>
      <c r="X108" s="30" t="s">
        <v>319</v>
      </c>
      <c r="Y108" s="30" t="s">
        <v>247</v>
      </c>
      <c r="Z108" s="30" t="s">
        <v>250</v>
      </c>
      <c r="AA108" s="30" t="s">
        <v>297</v>
      </c>
      <c r="AB108" s="30" t="s">
        <v>252</v>
      </c>
      <c r="AC108" s="30"/>
      <c r="AD108" s="9" t="s">
        <v>112</v>
      </c>
      <c r="AE108" s="9" t="s">
        <v>261</v>
      </c>
      <c r="AF108" s="9" t="s">
        <v>199</v>
      </c>
      <c r="AG108" s="9" t="s">
        <v>262</v>
      </c>
      <c r="AH108" s="9" t="s">
        <v>256</v>
      </c>
    </row>
    <row r="109" spans="1:34" ht="23.25" customHeight="1" x14ac:dyDescent="0.25">
      <c r="A109" s="38" t="s">
        <v>651</v>
      </c>
      <c r="B109" s="39" t="s">
        <v>192</v>
      </c>
      <c r="C109" s="29">
        <v>0.25</v>
      </c>
      <c r="D109" s="29">
        <v>0.25</v>
      </c>
      <c r="E109" s="29">
        <v>0.25</v>
      </c>
      <c r="F109" s="29">
        <v>0.25</v>
      </c>
      <c r="G109" s="29">
        <v>0.25</v>
      </c>
      <c r="H109" s="29">
        <v>20</v>
      </c>
      <c r="I109" s="30"/>
      <c r="J109" s="30"/>
      <c r="K109" s="30"/>
      <c r="L109" s="30" t="s">
        <v>652</v>
      </c>
      <c r="M109" s="32" t="s">
        <v>273</v>
      </c>
      <c r="N109" s="29">
        <v>4</v>
      </c>
      <c r="O109" s="30" t="s">
        <v>49</v>
      </c>
      <c r="P109" s="29">
        <f t="shared" si="9"/>
        <v>0.25</v>
      </c>
      <c r="Q109" s="29">
        <f t="shared" si="10"/>
        <v>75</v>
      </c>
      <c r="R109" s="30" t="s">
        <v>54</v>
      </c>
      <c r="S109" s="30" t="s">
        <v>193</v>
      </c>
      <c r="T109" s="30" t="s">
        <v>313</v>
      </c>
      <c r="U109" s="29" t="s">
        <v>247</v>
      </c>
      <c r="V109" s="29" t="s">
        <v>247</v>
      </c>
      <c r="W109" s="29" t="str">
        <f t="shared" si="11"/>
        <v>NR</v>
      </c>
      <c r="X109" s="30" t="s">
        <v>319</v>
      </c>
      <c r="Y109" s="30" t="s">
        <v>247</v>
      </c>
      <c r="Z109" s="30" t="s">
        <v>513</v>
      </c>
      <c r="AA109" s="30" t="s">
        <v>251</v>
      </c>
      <c r="AB109" s="30" t="s">
        <v>333</v>
      </c>
      <c r="AC109" s="30" t="s">
        <v>341</v>
      </c>
      <c r="AD109" s="9" t="s">
        <v>112</v>
      </c>
      <c r="AE109" s="9" t="s">
        <v>261</v>
      </c>
      <c r="AF109" s="9" t="s">
        <v>578</v>
      </c>
      <c r="AG109" s="9" t="s">
        <v>262</v>
      </c>
      <c r="AH109" s="9" t="s">
        <v>256</v>
      </c>
    </row>
    <row r="110" spans="1:34" ht="34.5" customHeight="1" x14ac:dyDescent="0.25">
      <c r="A110" s="38" t="s">
        <v>653</v>
      </c>
      <c r="B110" s="39" t="s">
        <v>196</v>
      </c>
      <c r="C110" s="29">
        <v>0.51900000000000002</v>
      </c>
      <c r="D110" s="29">
        <v>0.51900000000000002</v>
      </c>
      <c r="E110" s="29">
        <v>0.51900000000000002</v>
      </c>
      <c r="F110" s="29">
        <v>0.51900000000000002</v>
      </c>
      <c r="G110" s="29">
        <v>0.51900000000000002</v>
      </c>
      <c r="H110" s="29">
        <v>20</v>
      </c>
      <c r="I110" s="30"/>
      <c r="J110" s="30"/>
      <c r="K110" s="30"/>
      <c r="L110" s="30" t="s">
        <v>654</v>
      </c>
      <c r="M110" s="32" t="s">
        <v>273</v>
      </c>
      <c r="N110" s="29">
        <v>5</v>
      </c>
      <c r="O110" s="30" t="s">
        <v>55</v>
      </c>
      <c r="P110" s="29">
        <f t="shared" si="9"/>
        <v>0.51900000000000002</v>
      </c>
      <c r="Q110" s="29">
        <f t="shared" si="10"/>
        <v>48.1</v>
      </c>
      <c r="R110" s="30" t="s">
        <v>54</v>
      </c>
      <c r="S110" s="30" t="s">
        <v>54</v>
      </c>
      <c r="T110" s="30" t="s">
        <v>265</v>
      </c>
      <c r="U110" s="29" t="s">
        <v>247</v>
      </c>
      <c r="V110" s="29" t="s">
        <v>247</v>
      </c>
      <c r="W110" s="29" t="str">
        <f t="shared" si="11"/>
        <v>NR</v>
      </c>
      <c r="X110" s="30" t="s">
        <v>319</v>
      </c>
      <c r="Y110" s="30" t="s">
        <v>247</v>
      </c>
      <c r="Z110" s="30" t="s">
        <v>250</v>
      </c>
      <c r="AA110" s="30" t="s">
        <v>345</v>
      </c>
      <c r="AB110" s="30" t="s">
        <v>252</v>
      </c>
      <c r="AC110" s="30" t="s">
        <v>655</v>
      </c>
      <c r="AD110" s="9" t="s">
        <v>112</v>
      </c>
      <c r="AE110" s="9" t="s">
        <v>261</v>
      </c>
      <c r="AF110" s="9" t="s">
        <v>199</v>
      </c>
      <c r="AG110" s="9" t="s">
        <v>262</v>
      </c>
      <c r="AH110" s="9" t="s">
        <v>256</v>
      </c>
    </row>
    <row r="111" spans="1:34" ht="34.5" customHeight="1" x14ac:dyDescent="0.25">
      <c r="A111" s="38" t="s">
        <v>656</v>
      </c>
      <c r="B111" s="39" t="s">
        <v>196</v>
      </c>
      <c r="C111" s="29">
        <v>0.69</v>
      </c>
      <c r="D111" s="29">
        <v>0.69</v>
      </c>
      <c r="E111" s="29">
        <v>0.69</v>
      </c>
      <c r="F111" s="29">
        <v>0.69</v>
      </c>
      <c r="G111" s="29">
        <v>0.69</v>
      </c>
      <c r="H111" s="29">
        <v>20</v>
      </c>
      <c r="I111" s="30"/>
      <c r="J111" s="30"/>
      <c r="K111" s="30"/>
      <c r="L111" s="30" t="s">
        <v>657</v>
      </c>
      <c r="M111" s="32" t="s">
        <v>273</v>
      </c>
      <c r="N111" s="29">
        <v>5</v>
      </c>
      <c r="O111" s="30" t="s">
        <v>55</v>
      </c>
      <c r="P111" s="29">
        <f t="shared" si="9"/>
        <v>0.69</v>
      </c>
      <c r="Q111" s="29">
        <f t="shared" si="10"/>
        <v>31</v>
      </c>
      <c r="R111" s="30" t="s">
        <v>337</v>
      </c>
      <c r="S111" s="30" t="s">
        <v>54</v>
      </c>
      <c r="T111" s="30" t="s">
        <v>265</v>
      </c>
      <c r="U111" s="29" t="s">
        <v>247</v>
      </c>
      <c r="V111" s="29" t="s">
        <v>247</v>
      </c>
      <c r="W111" s="29" t="str">
        <f t="shared" si="11"/>
        <v>NR</v>
      </c>
      <c r="X111" s="30" t="s">
        <v>319</v>
      </c>
      <c r="Y111" s="30" t="s">
        <v>247</v>
      </c>
      <c r="Z111" s="30" t="s">
        <v>250</v>
      </c>
      <c r="AA111" s="30" t="s">
        <v>635</v>
      </c>
      <c r="AB111" s="30" t="s">
        <v>252</v>
      </c>
      <c r="AC111" s="30"/>
      <c r="AD111" s="9" t="s">
        <v>112</v>
      </c>
      <c r="AE111" s="9" t="s">
        <v>254</v>
      </c>
      <c r="AF111" s="9" t="s">
        <v>199</v>
      </c>
      <c r="AG111" s="9" t="s">
        <v>262</v>
      </c>
      <c r="AH111" s="9" t="s">
        <v>256</v>
      </c>
    </row>
    <row r="112" spans="1:34" ht="34.5" customHeight="1" x14ac:dyDescent="0.25">
      <c r="A112" s="38" t="s">
        <v>658</v>
      </c>
      <c r="B112" s="39" t="s">
        <v>196</v>
      </c>
      <c r="C112" s="29">
        <v>0.70399999999999996</v>
      </c>
      <c r="D112" s="29">
        <v>0.70399999999999996</v>
      </c>
      <c r="E112" s="29">
        <v>0.70399999999999996</v>
      </c>
      <c r="F112" s="29">
        <v>0.70399999999999996</v>
      </c>
      <c r="G112" s="29">
        <v>0.70399999999999996</v>
      </c>
      <c r="H112" s="29">
        <v>20</v>
      </c>
      <c r="I112" s="30"/>
      <c r="J112" s="30"/>
      <c r="K112" s="30"/>
      <c r="L112" s="30" t="s">
        <v>659</v>
      </c>
      <c r="M112" s="32" t="s">
        <v>273</v>
      </c>
      <c r="N112" s="29">
        <v>5</v>
      </c>
      <c r="O112" s="30" t="s">
        <v>55</v>
      </c>
      <c r="P112" s="29">
        <f t="shared" si="9"/>
        <v>0.70399999999999996</v>
      </c>
      <c r="Q112" s="29">
        <f t="shared" si="10"/>
        <v>29.6</v>
      </c>
      <c r="R112" s="30" t="s">
        <v>54</v>
      </c>
      <c r="S112" s="30" t="s">
        <v>54</v>
      </c>
      <c r="T112" s="30" t="s">
        <v>265</v>
      </c>
      <c r="U112" s="29" t="s">
        <v>247</v>
      </c>
      <c r="V112" s="29" t="s">
        <v>247</v>
      </c>
      <c r="W112" s="29" t="str">
        <f t="shared" si="11"/>
        <v>NR</v>
      </c>
      <c r="X112" s="30" t="s">
        <v>319</v>
      </c>
      <c r="Y112" s="30" t="s">
        <v>247</v>
      </c>
      <c r="Z112" s="30" t="s">
        <v>250</v>
      </c>
      <c r="AA112" s="30" t="s">
        <v>345</v>
      </c>
      <c r="AB112" s="30" t="s">
        <v>252</v>
      </c>
      <c r="AC112" s="30" t="s">
        <v>655</v>
      </c>
      <c r="AD112" s="9" t="s">
        <v>112</v>
      </c>
      <c r="AE112" s="9" t="s">
        <v>261</v>
      </c>
      <c r="AF112" s="9" t="s">
        <v>199</v>
      </c>
      <c r="AG112" s="9" t="s">
        <v>262</v>
      </c>
      <c r="AH112" s="9" t="s">
        <v>256</v>
      </c>
    </row>
    <row r="113" spans="1:34" ht="34.5" customHeight="1" x14ac:dyDescent="0.25">
      <c r="A113" s="38" t="s">
        <v>660</v>
      </c>
      <c r="B113" s="39" t="s">
        <v>196</v>
      </c>
      <c r="C113" s="29">
        <v>0.8</v>
      </c>
      <c r="D113" s="29">
        <v>0.8</v>
      </c>
      <c r="E113" s="29">
        <v>0.8</v>
      </c>
      <c r="F113" s="29">
        <v>0.8</v>
      </c>
      <c r="G113" s="29">
        <v>0.8</v>
      </c>
      <c r="H113" s="29">
        <v>20</v>
      </c>
      <c r="I113" s="30"/>
      <c r="J113" s="30"/>
      <c r="K113" s="30"/>
      <c r="L113" s="30" t="s">
        <v>661</v>
      </c>
      <c r="M113" s="32" t="s">
        <v>273</v>
      </c>
      <c r="N113" s="29">
        <v>5</v>
      </c>
      <c r="O113" s="30" t="s">
        <v>55</v>
      </c>
      <c r="P113" s="29">
        <f t="shared" si="9"/>
        <v>0.8</v>
      </c>
      <c r="Q113" s="29">
        <f t="shared" si="10"/>
        <v>20</v>
      </c>
      <c r="R113" s="30" t="s">
        <v>337</v>
      </c>
      <c r="S113" s="30" t="s">
        <v>54</v>
      </c>
      <c r="T113" s="30" t="s">
        <v>265</v>
      </c>
      <c r="U113" s="29" t="s">
        <v>247</v>
      </c>
      <c r="V113" s="29" t="s">
        <v>247</v>
      </c>
      <c r="W113" s="29" t="str">
        <f t="shared" si="11"/>
        <v>NR</v>
      </c>
      <c r="X113" s="30" t="s">
        <v>319</v>
      </c>
      <c r="Y113" s="30" t="s">
        <v>247</v>
      </c>
      <c r="Z113" s="30" t="s">
        <v>250</v>
      </c>
      <c r="AA113" s="30" t="s">
        <v>345</v>
      </c>
      <c r="AB113" s="30" t="s">
        <v>252</v>
      </c>
      <c r="AC113" s="30"/>
      <c r="AD113" s="9" t="s">
        <v>112</v>
      </c>
      <c r="AE113" s="9" t="s">
        <v>254</v>
      </c>
      <c r="AF113" s="9" t="s">
        <v>199</v>
      </c>
      <c r="AG113" s="9" t="s">
        <v>262</v>
      </c>
      <c r="AH113" s="9" t="s">
        <v>256</v>
      </c>
    </row>
    <row r="114" spans="1:34" ht="45.75" customHeight="1" x14ac:dyDescent="0.25">
      <c r="A114" s="38" t="s">
        <v>662</v>
      </c>
      <c r="B114" s="39" t="s">
        <v>196</v>
      </c>
      <c r="C114" s="29">
        <v>0.6</v>
      </c>
      <c r="D114" s="29">
        <v>0.6</v>
      </c>
      <c r="E114" s="29">
        <v>0.6</v>
      </c>
      <c r="F114" s="29">
        <v>0.6</v>
      </c>
      <c r="G114" s="29">
        <v>0.6</v>
      </c>
      <c r="H114" s="29">
        <v>20</v>
      </c>
      <c r="I114" s="30"/>
      <c r="J114" s="30"/>
      <c r="K114" s="30"/>
      <c r="L114" s="30" t="s">
        <v>663</v>
      </c>
      <c r="M114" s="32" t="s">
        <v>273</v>
      </c>
      <c r="N114" s="29">
        <v>4</v>
      </c>
      <c r="O114" s="30" t="s">
        <v>55</v>
      </c>
      <c r="P114" s="29">
        <f t="shared" si="9"/>
        <v>0.6</v>
      </c>
      <c r="Q114" s="29">
        <f t="shared" si="10"/>
        <v>40</v>
      </c>
      <c r="R114" s="30" t="s">
        <v>245</v>
      </c>
      <c r="S114" s="30" t="s">
        <v>54</v>
      </c>
      <c r="T114" s="30" t="s">
        <v>265</v>
      </c>
      <c r="U114" s="29" t="s">
        <v>247</v>
      </c>
      <c r="V114" s="29" t="s">
        <v>247</v>
      </c>
      <c r="W114" s="29" t="str">
        <f t="shared" si="11"/>
        <v>NR</v>
      </c>
      <c r="X114" s="30" t="s">
        <v>319</v>
      </c>
      <c r="Y114" s="30" t="s">
        <v>247</v>
      </c>
      <c r="Z114" s="30" t="s">
        <v>250</v>
      </c>
      <c r="AA114" s="30" t="s">
        <v>635</v>
      </c>
      <c r="AB114" s="30" t="s">
        <v>252</v>
      </c>
      <c r="AC114" s="30" t="s">
        <v>655</v>
      </c>
      <c r="AD114" s="9" t="s">
        <v>112</v>
      </c>
      <c r="AE114" s="9" t="s">
        <v>254</v>
      </c>
      <c r="AF114" s="9" t="s">
        <v>199</v>
      </c>
      <c r="AG114" s="9" t="s">
        <v>262</v>
      </c>
      <c r="AH114" s="9" t="s">
        <v>256</v>
      </c>
    </row>
    <row r="115" spans="1:34" ht="34.5" customHeight="1" x14ac:dyDescent="0.25">
      <c r="A115" s="38" t="s">
        <v>664</v>
      </c>
      <c r="B115" s="39" t="s">
        <v>196</v>
      </c>
      <c r="C115" s="29">
        <v>0.69</v>
      </c>
      <c r="D115" s="29">
        <v>0.69</v>
      </c>
      <c r="E115" s="29">
        <v>0.69</v>
      </c>
      <c r="F115" s="29">
        <v>0.69</v>
      </c>
      <c r="G115" s="29">
        <v>0.69</v>
      </c>
      <c r="H115" s="29">
        <v>20</v>
      </c>
      <c r="I115" s="30"/>
      <c r="J115" s="30"/>
      <c r="K115" s="30"/>
      <c r="L115" s="30" t="s">
        <v>665</v>
      </c>
      <c r="M115" s="32" t="s">
        <v>273</v>
      </c>
      <c r="N115" s="29">
        <v>4</v>
      </c>
      <c r="O115" s="30" t="s">
        <v>55</v>
      </c>
      <c r="P115" s="29">
        <f t="shared" si="9"/>
        <v>0.69</v>
      </c>
      <c r="Q115" s="29">
        <f t="shared" si="10"/>
        <v>31</v>
      </c>
      <c r="R115" s="30" t="s">
        <v>54</v>
      </c>
      <c r="S115" s="30" t="s">
        <v>54</v>
      </c>
      <c r="T115" s="30" t="s">
        <v>265</v>
      </c>
      <c r="U115" s="29" t="s">
        <v>247</v>
      </c>
      <c r="V115" s="29" t="s">
        <v>247</v>
      </c>
      <c r="W115" s="29" t="str">
        <f t="shared" si="11"/>
        <v>NR</v>
      </c>
      <c r="X115" s="30" t="s">
        <v>319</v>
      </c>
      <c r="Y115" s="30" t="s">
        <v>247</v>
      </c>
      <c r="Z115" s="30" t="s">
        <v>250</v>
      </c>
      <c r="AA115" s="30" t="s">
        <v>345</v>
      </c>
      <c r="AB115" s="30" t="s">
        <v>252</v>
      </c>
      <c r="AC115" s="30" t="s">
        <v>666</v>
      </c>
      <c r="AD115" s="9" t="s">
        <v>112</v>
      </c>
      <c r="AE115" s="9" t="s">
        <v>261</v>
      </c>
      <c r="AF115" s="9" t="s">
        <v>199</v>
      </c>
      <c r="AG115" s="9" t="s">
        <v>262</v>
      </c>
      <c r="AH115" s="9" t="s">
        <v>256</v>
      </c>
    </row>
    <row r="116" spans="1:34" ht="45.75" customHeight="1" x14ac:dyDescent="0.25">
      <c r="A116" s="38" t="s">
        <v>667</v>
      </c>
      <c r="B116" s="39" t="s">
        <v>198</v>
      </c>
      <c r="C116" s="29">
        <v>0.89900000000000002</v>
      </c>
      <c r="D116" s="29">
        <v>0.89900000000000002</v>
      </c>
      <c r="E116" s="29">
        <v>0.89900000000000002</v>
      </c>
      <c r="F116" s="29">
        <v>0.89900000000000002</v>
      </c>
      <c r="G116" s="29">
        <v>0.89900000000000002</v>
      </c>
      <c r="H116" s="29">
        <v>20</v>
      </c>
      <c r="I116" s="30"/>
      <c r="J116" s="30"/>
      <c r="K116" s="30"/>
      <c r="L116" s="30" t="s">
        <v>668</v>
      </c>
      <c r="M116" s="31" t="s">
        <v>244</v>
      </c>
      <c r="N116" s="29">
        <v>4</v>
      </c>
      <c r="O116" s="30" t="s">
        <v>54</v>
      </c>
      <c r="P116" s="29">
        <f t="shared" si="9"/>
        <v>0.89900000000000002</v>
      </c>
      <c r="Q116" s="29">
        <f t="shared" si="10"/>
        <v>10.1</v>
      </c>
      <c r="R116" s="30" t="s">
        <v>245</v>
      </c>
      <c r="S116" s="30" t="s">
        <v>54</v>
      </c>
      <c r="T116" s="30" t="s">
        <v>54</v>
      </c>
      <c r="U116" s="29">
        <v>641</v>
      </c>
      <c r="V116" s="29">
        <v>41731</v>
      </c>
      <c r="W116" s="29">
        <f t="shared" si="11"/>
        <v>21186</v>
      </c>
      <c r="X116" s="30" t="s">
        <v>194</v>
      </c>
      <c r="Y116" s="30" t="s">
        <v>247</v>
      </c>
      <c r="Z116" s="30" t="s">
        <v>250</v>
      </c>
      <c r="AA116" s="30" t="s">
        <v>275</v>
      </c>
      <c r="AB116" s="30" t="s">
        <v>252</v>
      </c>
      <c r="AC116" s="30"/>
      <c r="AD116" s="9" t="s">
        <v>112</v>
      </c>
      <c r="AE116" s="9" t="s">
        <v>254</v>
      </c>
      <c r="AF116" s="9" t="s">
        <v>199</v>
      </c>
      <c r="AG116" s="9" t="s">
        <v>669</v>
      </c>
      <c r="AH116" s="9" t="s">
        <v>256</v>
      </c>
    </row>
    <row r="117" spans="1:34" ht="90.75" customHeight="1" x14ac:dyDescent="0.25">
      <c r="A117" s="38" t="s">
        <v>670</v>
      </c>
      <c r="B117" s="39" t="s">
        <v>198</v>
      </c>
      <c r="C117" s="29">
        <v>0.58499999999999996</v>
      </c>
      <c r="D117" s="29">
        <v>0.58499999999999996</v>
      </c>
      <c r="E117" s="29">
        <v>0.58499999999999996</v>
      </c>
      <c r="F117" s="29">
        <v>0.58499999999999996</v>
      </c>
      <c r="G117" s="29">
        <v>0.58499999999999996</v>
      </c>
      <c r="H117" s="29">
        <v>20</v>
      </c>
      <c r="I117" s="30"/>
      <c r="J117" s="30"/>
      <c r="K117" s="30"/>
      <c r="L117" s="30" t="s">
        <v>671</v>
      </c>
      <c r="M117" s="32" t="s">
        <v>273</v>
      </c>
      <c r="N117" s="29">
        <v>4</v>
      </c>
      <c r="O117" s="30" t="s">
        <v>265</v>
      </c>
      <c r="P117" s="29">
        <f t="shared" si="9"/>
        <v>0.58499999999999996</v>
      </c>
      <c r="Q117" s="29">
        <f t="shared" si="10"/>
        <v>41.5</v>
      </c>
      <c r="R117" s="30" t="s">
        <v>54</v>
      </c>
      <c r="S117" s="30" t="s">
        <v>193</v>
      </c>
      <c r="T117" s="30" t="s">
        <v>265</v>
      </c>
      <c r="U117" s="29" t="s">
        <v>247</v>
      </c>
      <c r="V117" s="29" t="s">
        <v>247</v>
      </c>
      <c r="W117" s="29" t="str">
        <f t="shared" si="11"/>
        <v>NR</v>
      </c>
      <c r="X117" s="30" t="s">
        <v>319</v>
      </c>
      <c r="Y117" s="30" t="s">
        <v>247</v>
      </c>
      <c r="Z117" s="30" t="s">
        <v>250</v>
      </c>
      <c r="AA117" s="30" t="s">
        <v>345</v>
      </c>
      <c r="AB117" s="30" t="s">
        <v>252</v>
      </c>
      <c r="AC117" s="30" t="s">
        <v>672</v>
      </c>
      <c r="AD117" s="9" t="s">
        <v>112</v>
      </c>
      <c r="AE117" s="9" t="s">
        <v>261</v>
      </c>
      <c r="AF117" s="9" t="s">
        <v>578</v>
      </c>
      <c r="AG117" s="9" t="s">
        <v>262</v>
      </c>
      <c r="AH117" s="9" t="s">
        <v>256</v>
      </c>
    </row>
    <row r="118" spans="1:34" ht="45.75" customHeight="1" x14ac:dyDescent="0.25">
      <c r="A118" s="38" t="s">
        <v>673</v>
      </c>
      <c r="B118" s="39" t="s">
        <v>198</v>
      </c>
      <c r="C118" s="29">
        <v>0.42</v>
      </c>
      <c r="D118" s="29">
        <v>0.42</v>
      </c>
      <c r="E118" s="29">
        <v>0.42</v>
      </c>
      <c r="F118" s="29">
        <v>0.42</v>
      </c>
      <c r="G118" s="29">
        <v>0.42</v>
      </c>
      <c r="H118" s="29">
        <v>20</v>
      </c>
      <c r="I118" s="30"/>
      <c r="J118" s="30"/>
      <c r="K118" s="30"/>
      <c r="L118" s="30" t="s">
        <v>674</v>
      </c>
      <c r="M118" s="32" t="s">
        <v>273</v>
      </c>
      <c r="N118" s="29">
        <v>4</v>
      </c>
      <c r="O118" s="30" t="s">
        <v>54</v>
      </c>
      <c r="P118" s="29">
        <f t="shared" si="9"/>
        <v>0.42</v>
      </c>
      <c r="Q118" s="29">
        <f t="shared" si="10"/>
        <v>58</v>
      </c>
      <c r="R118" s="30" t="s">
        <v>54</v>
      </c>
      <c r="S118" s="30" t="s">
        <v>193</v>
      </c>
      <c r="T118" s="30" t="s">
        <v>313</v>
      </c>
      <c r="U118" s="29">
        <v>250</v>
      </c>
      <c r="V118" s="29">
        <v>42520</v>
      </c>
      <c r="W118" s="29">
        <f t="shared" si="11"/>
        <v>21385</v>
      </c>
      <c r="X118" s="30" t="s">
        <v>319</v>
      </c>
      <c r="Y118" s="30" t="s">
        <v>247</v>
      </c>
      <c r="Z118" s="30" t="s">
        <v>339</v>
      </c>
      <c r="AA118" s="30" t="s">
        <v>675</v>
      </c>
      <c r="AB118" s="30" t="s">
        <v>252</v>
      </c>
      <c r="AC118" s="30" t="s">
        <v>676</v>
      </c>
      <c r="AD118" s="9" t="s">
        <v>112</v>
      </c>
      <c r="AE118" s="9" t="s">
        <v>261</v>
      </c>
      <c r="AF118" s="9" t="s">
        <v>578</v>
      </c>
      <c r="AG118" s="9" t="s">
        <v>677</v>
      </c>
      <c r="AH118" s="9" t="s">
        <v>256</v>
      </c>
    </row>
    <row r="119" spans="1:34" ht="90.75" customHeight="1" x14ac:dyDescent="0.25">
      <c r="A119" s="38" t="s">
        <v>678</v>
      </c>
      <c r="B119" s="39" t="s">
        <v>198</v>
      </c>
      <c r="C119" s="29">
        <v>0.50900000000000001</v>
      </c>
      <c r="D119" s="29">
        <v>0.50900000000000001</v>
      </c>
      <c r="E119" s="29">
        <v>0.50900000000000001</v>
      </c>
      <c r="F119" s="29">
        <v>0.50900000000000001</v>
      </c>
      <c r="G119" s="29">
        <v>0.50900000000000001</v>
      </c>
      <c r="H119" s="29">
        <v>20</v>
      </c>
      <c r="I119" s="30"/>
      <c r="J119" s="30"/>
      <c r="K119" s="30"/>
      <c r="L119" s="30" t="s">
        <v>679</v>
      </c>
      <c r="M119" s="32" t="s">
        <v>273</v>
      </c>
      <c r="N119" s="29">
        <v>4</v>
      </c>
      <c r="O119" s="30" t="s">
        <v>54</v>
      </c>
      <c r="P119" s="29">
        <f t="shared" si="9"/>
        <v>0.50900000000000001</v>
      </c>
      <c r="Q119" s="29">
        <f t="shared" si="10"/>
        <v>49.1</v>
      </c>
      <c r="R119" s="30" t="s">
        <v>54</v>
      </c>
      <c r="S119" s="30" t="s">
        <v>193</v>
      </c>
      <c r="T119" s="30" t="s">
        <v>54</v>
      </c>
      <c r="U119" s="29">
        <v>4272</v>
      </c>
      <c r="V119" s="29">
        <v>41100</v>
      </c>
      <c r="W119" s="29">
        <f t="shared" si="11"/>
        <v>22686</v>
      </c>
      <c r="X119" s="30" t="s">
        <v>63</v>
      </c>
      <c r="Y119" s="30" t="s">
        <v>247</v>
      </c>
      <c r="Z119" s="30" t="s">
        <v>250</v>
      </c>
      <c r="AA119" s="30" t="s">
        <v>275</v>
      </c>
      <c r="AB119" s="30" t="s">
        <v>252</v>
      </c>
      <c r="AC119" s="30" t="s">
        <v>680</v>
      </c>
      <c r="AD119" s="9" t="s">
        <v>112</v>
      </c>
      <c r="AE119" s="9" t="s">
        <v>261</v>
      </c>
      <c r="AF119" s="9" t="s">
        <v>578</v>
      </c>
      <c r="AG119" s="9" t="s">
        <v>681</v>
      </c>
      <c r="AH119" s="9" t="s">
        <v>256</v>
      </c>
    </row>
    <row r="120" spans="1:34" ht="79.5" customHeight="1" x14ac:dyDescent="0.25">
      <c r="A120" s="38" t="s">
        <v>667</v>
      </c>
      <c r="B120" s="39" t="s">
        <v>198</v>
      </c>
      <c r="C120" s="29">
        <v>0.71799999999999997</v>
      </c>
      <c r="D120" s="29">
        <v>0.71799999999999997</v>
      </c>
      <c r="E120" s="29">
        <v>0.71799999999999997</v>
      </c>
      <c r="F120" s="29">
        <v>0.71799999999999997</v>
      </c>
      <c r="G120" s="29">
        <v>0.71799999999999997</v>
      </c>
      <c r="H120" s="29">
        <v>20</v>
      </c>
      <c r="I120" s="30"/>
      <c r="J120" s="30"/>
      <c r="K120" s="30"/>
      <c r="L120" s="30" t="s">
        <v>682</v>
      </c>
      <c r="M120" s="32" t="s">
        <v>273</v>
      </c>
      <c r="N120" s="29">
        <v>4</v>
      </c>
      <c r="O120" s="30" t="s">
        <v>55</v>
      </c>
      <c r="P120" s="29">
        <f t="shared" si="9"/>
        <v>0.71799999999999997</v>
      </c>
      <c r="Q120" s="29">
        <f t="shared" si="10"/>
        <v>28.2</v>
      </c>
      <c r="R120" s="30" t="s">
        <v>54</v>
      </c>
      <c r="S120" s="30" t="s">
        <v>408</v>
      </c>
      <c r="T120" s="30" t="s">
        <v>54</v>
      </c>
      <c r="U120" s="29">
        <v>641</v>
      </c>
      <c r="V120" s="29">
        <v>41731</v>
      </c>
      <c r="W120" s="29">
        <f t="shared" si="11"/>
        <v>21186</v>
      </c>
      <c r="X120" s="30" t="s">
        <v>194</v>
      </c>
      <c r="Y120" s="30" t="s">
        <v>247</v>
      </c>
      <c r="Z120" s="30" t="s">
        <v>250</v>
      </c>
      <c r="AA120" s="30" t="s">
        <v>275</v>
      </c>
      <c r="AB120" s="30" t="s">
        <v>252</v>
      </c>
      <c r="AC120" s="30" t="s">
        <v>289</v>
      </c>
      <c r="AD120" s="9" t="s">
        <v>112</v>
      </c>
      <c r="AE120" s="9" t="s">
        <v>261</v>
      </c>
      <c r="AF120" s="9" t="s">
        <v>409</v>
      </c>
      <c r="AG120" s="9" t="s">
        <v>669</v>
      </c>
      <c r="AH120" s="9" t="s">
        <v>256</v>
      </c>
    </row>
    <row r="121" spans="1:34" ht="23.25" customHeight="1" x14ac:dyDescent="0.25">
      <c r="A121" s="38" t="s">
        <v>683</v>
      </c>
      <c r="B121" s="39" t="s">
        <v>202</v>
      </c>
      <c r="C121" s="29">
        <v>0.92</v>
      </c>
      <c r="D121" s="29">
        <v>0.92</v>
      </c>
      <c r="E121" s="29">
        <v>0.92</v>
      </c>
      <c r="F121" s="29">
        <v>0.92</v>
      </c>
      <c r="G121" s="29">
        <v>0.92</v>
      </c>
      <c r="H121" s="29">
        <v>20</v>
      </c>
      <c r="I121" s="30"/>
      <c r="J121" s="30"/>
      <c r="K121" s="30"/>
      <c r="L121" s="30" t="s">
        <v>684</v>
      </c>
      <c r="M121" s="31" t="s">
        <v>244</v>
      </c>
      <c r="N121" s="29">
        <v>2</v>
      </c>
      <c r="O121" s="30" t="s">
        <v>313</v>
      </c>
      <c r="P121" s="29">
        <f t="shared" si="9"/>
        <v>0.92</v>
      </c>
      <c r="Q121" s="29">
        <f t="shared" si="10"/>
        <v>8</v>
      </c>
      <c r="R121" s="30" t="s">
        <v>54</v>
      </c>
      <c r="S121" s="30" t="s">
        <v>54</v>
      </c>
      <c r="T121" s="30" t="s">
        <v>313</v>
      </c>
      <c r="U121" s="29" t="s">
        <v>247</v>
      </c>
      <c r="V121" s="29" t="s">
        <v>247</v>
      </c>
      <c r="W121" s="29" t="str">
        <f t="shared" si="11"/>
        <v>NR</v>
      </c>
      <c r="X121" s="30" t="s">
        <v>319</v>
      </c>
      <c r="Y121" s="30" t="s">
        <v>247</v>
      </c>
      <c r="Z121" s="30" t="s">
        <v>685</v>
      </c>
      <c r="AA121" s="30" t="s">
        <v>297</v>
      </c>
      <c r="AB121" s="30" t="s">
        <v>333</v>
      </c>
      <c r="AC121" s="30" t="s">
        <v>686</v>
      </c>
      <c r="AD121" s="9" t="s">
        <v>112</v>
      </c>
      <c r="AE121" s="9" t="s">
        <v>261</v>
      </c>
      <c r="AF121" s="9" t="s">
        <v>199</v>
      </c>
      <c r="AG121" s="9" t="s">
        <v>262</v>
      </c>
      <c r="AH121" s="9" t="s">
        <v>256</v>
      </c>
    </row>
    <row r="122" spans="1:34" ht="34.5" customHeight="1" x14ac:dyDescent="0.25">
      <c r="A122" s="38" t="s">
        <v>687</v>
      </c>
      <c r="B122" s="39" t="s">
        <v>202</v>
      </c>
      <c r="C122" s="29">
        <v>0.79800000000000004</v>
      </c>
      <c r="D122" s="29">
        <v>0.79800000000000004</v>
      </c>
      <c r="E122" s="29">
        <v>0.79800000000000004</v>
      </c>
      <c r="F122" s="29">
        <v>0.79800000000000004</v>
      </c>
      <c r="G122" s="29">
        <v>0.79800000000000004</v>
      </c>
      <c r="H122" s="29">
        <v>20</v>
      </c>
      <c r="I122" s="30"/>
      <c r="J122" s="30"/>
      <c r="K122" s="30"/>
      <c r="L122" s="30" t="s">
        <v>688</v>
      </c>
      <c r="M122" s="32" t="s">
        <v>273</v>
      </c>
      <c r="N122" s="29">
        <v>4</v>
      </c>
      <c r="O122" s="30" t="s">
        <v>49</v>
      </c>
      <c r="P122" s="29">
        <f t="shared" si="9"/>
        <v>0.79800000000000004</v>
      </c>
      <c r="Q122" s="29">
        <f t="shared" si="10"/>
        <v>20.2</v>
      </c>
      <c r="R122" s="30" t="s">
        <v>54</v>
      </c>
      <c r="S122" s="30" t="s">
        <v>54</v>
      </c>
      <c r="T122" s="30" t="s">
        <v>313</v>
      </c>
      <c r="U122" s="29">
        <v>5950</v>
      </c>
      <c r="V122" s="29">
        <v>31600</v>
      </c>
      <c r="W122" s="29">
        <f t="shared" si="11"/>
        <v>18775</v>
      </c>
      <c r="X122" s="30" t="s">
        <v>319</v>
      </c>
      <c r="Y122" s="30" t="s">
        <v>247</v>
      </c>
      <c r="Z122" s="30" t="s">
        <v>250</v>
      </c>
      <c r="AA122" s="30" t="s">
        <v>411</v>
      </c>
      <c r="AB122" s="30" t="s">
        <v>252</v>
      </c>
      <c r="AC122" s="30" t="s">
        <v>689</v>
      </c>
      <c r="AD122" s="9" t="s">
        <v>112</v>
      </c>
      <c r="AE122" s="9" t="s">
        <v>261</v>
      </c>
      <c r="AF122" s="9" t="s">
        <v>199</v>
      </c>
      <c r="AG122" s="9" t="s">
        <v>690</v>
      </c>
      <c r="AH122" s="9" t="s">
        <v>256</v>
      </c>
    </row>
    <row r="123" spans="1:34" ht="34.5" customHeight="1" x14ac:dyDescent="0.25">
      <c r="A123" s="40" t="s">
        <v>335</v>
      </c>
      <c r="B123" s="41" t="s">
        <v>207</v>
      </c>
      <c r="C123" s="29">
        <v>0.57999999999999996</v>
      </c>
      <c r="D123" s="29">
        <v>0.57999999999999996</v>
      </c>
      <c r="E123" s="29">
        <v>0.57999999999999996</v>
      </c>
      <c r="F123" s="29">
        <v>0.57999999999999996</v>
      </c>
      <c r="G123" s="29">
        <v>0.57999999999999996</v>
      </c>
      <c r="H123" s="29">
        <v>20</v>
      </c>
      <c r="I123" s="30"/>
      <c r="J123" s="30"/>
      <c r="K123" s="30"/>
      <c r="L123" s="30" t="s">
        <v>336</v>
      </c>
      <c r="M123" s="31" t="s">
        <v>244</v>
      </c>
      <c r="N123" s="29">
        <v>3</v>
      </c>
      <c r="O123" s="30" t="s">
        <v>313</v>
      </c>
      <c r="P123" s="29">
        <f t="shared" si="9"/>
        <v>0.57999999999999996</v>
      </c>
      <c r="Q123" s="29">
        <f t="shared" si="10"/>
        <v>42</v>
      </c>
      <c r="R123" s="30" t="s">
        <v>337</v>
      </c>
      <c r="S123" s="30" t="s">
        <v>338</v>
      </c>
      <c r="T123" s="30" t="s">
        <v>313</v>
      </c>
      <c r="U123" s="29" t="s">
        <v>247</v>
      </c>
      <c r="V123" s="29" t="s">
        <v>247</v>
      </c>
      <c r="W123" s="29" t="str">
        <f t="shared" si="11"/>
        <v>NR</v>
      </c>
      <c r="X123" s="30" t="s">
        <v>319</v>
      </c>
      <c r="Y123" s="30" t="s">
        <v>247</v>
      </c>
      <c r="Z123" s="30" t="s">
        <v>339</v>
      </c>
      <c r="AA123" s="30" t="s">
        <v>281</v>
      </c>
      <c r="AB123" s="30" t="s">
        <v>340</v>
      </c>
      <c r="AC123" s="30" t="s">
        <v>341</v>
      </c>
      <c r="AD123" s="9" t="s">
        <v>112</v>
      </c>
      <c r="AE123" s="9" t="s">
        <v>254</v>
      </c>
      <c r="AF123" s="9" t="s">
        <v>342</v>
      </c>
      <c r="AG123" s="9" t="s">
        <v>262</v>
      </c>
      <c r="AH123" s="9" t="s">
        <v>256</v>
      </c>
    </row>
    <row r="124" spans="1:34" ht="34.5" customHeight="1" x14ac:dyDescent="0.25">
      <c r="A124" s="40" t="s">
        <v>691</v>
      </c>
      <c r="B124" s="41" t="s">
        <v>207</v>
      </c>
      <c r="C124" s="29">
        <v>0.72</v>
      </c>
      <c r="D124" s="29">
        <v>0.72</v>
      </c>
      <c r="E124" s="29">
        <v>0.72</v>
      </c>
      <c r="F124" s="29">
        <v>0.72</v>
      </c>
      <c r="G124" s="29">
        <v>0.72</v>
      </c>
      <c r="H124" s="29">
        <v>20</v>
      </c>
      <c r="I124" s="30"/>
      <c r="J124" s="30"/>
      <c r="K124" s="30"/>
      <c r="L124" s="30" t="s">
        <v>692</v>
      </c>
      <c r="M124" s="31" t="s">
        <v>244</v>
      </c>
      <c r="N124" s="29">
        <v>3</v>
      </c>
      <c r="O124" s="30" t="s">
        <v>54</v>
      </c>
      <c r="P124" s="29">
        <f t="shared" si="9"/>
        <v>0.72</v>
      </c>
      <c r="Q124" s="29">
        <f t="shared" si="10"/>
        <v>28</v>
      </c>
      <c r="R124" s="30" t="s">
        <v>337</v>
      </c>
      <c r="S124" s="30" t="s">
        <v>408</v>
      </c>
      <c r="T124" s="30" t="s">
        <v>54</v>
      </c>
      <c r="U124" s="29" t="s">
        <v>247</v>
      </c>
      <c r="V124" s="29" t="s">
        <v>247</v>
      </c>
      <c r="W124" s="29" t="str">
        <f t="shared" si="11"/>
        <v>NR</v>
      </c>
      <c r="X124" s="30" t="s">
        <v>248</v>
      </c>
      <c r="Y124" s="30" t="s">
        <v>247</v>
      </c>
      <c r="Z124" s="30" t="s">
        <v>513</v>
      </c>
      <c r="AA124" s="30" t="s">
        <v>355</v>
      </c>
      <c r="AB124" s="30" t="s">
        <v>340</v>
      </c>
      <c r="AC124" s="30"/>
      <c r="AD124" s="9" t="s">
        <v>112</v>
      </c>
      <c r="AE124" s="9" t="s">
        <v>254</v>
      </c>
      <c r="AF124" s="9" t="s">
        <v>409</v>
      </c>
      <c r="AG124" s="9" t="s">
        <v>262</v>
      </c>
      <c r="AH124" s="9" t="s">
        <v>256</v>
      </c>
    </row>
    <row r="125" spans="1:34" ht="23.25" customHeight="1" x14ac:dyDescent="0.25">
      <c r="A125" s="40" t="s">
        <v>693</v>
      </c>
      <c r="B125" s="41" t="s">
        <v>207</v>
      </c>
      <c r="C125" s="29">
        <v>0.58099999999999996</v>
      </c>
      <c r="D125" s="29">
        <v>0.58099999999999996</v>
      </c>
      <c r="E125" s="29">
        <v>0.58099999999999996</v>
      </c>
      <c r="F125" s="29">
        <v>0.58099999999999996</v>
      </c>
      <c r="G125" s="29">
        <v>0.58099999999999996</v>
      </c>
      <c r="H125" s="29">
        <v>20</v>
      </c>
      <c r="I125" s="30"/>
      <c r="J125" s="30"/>
      <c r="K125" s="30"/>
      <c r="L125" s="30" t="s">
        <v>694</v>
      </c>
      <c r="M125" s="32" t="s">
        <v>273</v>
      </c>
      <c r="N125" s="29">
        <v>4</v>
      </c>
      <c r="O125" s="30" t="s">
        <v>312</v>
      </c>
      <c r="P125" s="29">
        <f t="shared" si="9"/>
        <v>0.58099999999999996</v>
      </c>
      <c r="Q125" s="29">
        <f t="shared" si="10"/>
        <v>41.9</v>
      </c>
      <c r="R125" s="30" t="s">
        <v>54</v>
      </c>
      <c r="S125" s="30" t="s">
        <v>54</v>
      </c>
      <c r="T125" s="30" t="s">
        <v>265</v>
      </c>
      <c r="U125" s="29" t="s">
        <v>247</v>
      </c>
      <c r="V125" s="29" t="s">
        <v>247</v>
      </c>
      <c r="W125" s="29" t="str">
        <f t="shared" si="11"/>
        <v>NR</v>
      </c>
      <c r="X125" s="30" t="s">
        <v>248</v>
      </c>
      <c r="Y125" s="30" t="s">
        <v>247</v>
      </c>
      <c r="Z125" s="30" t="s">
        <v>250</v>
      </c>
      <c r="AA125" s="30" t="s">
        <v>307</v>
      </c>
      <c r="AB125" s="30" t="s">
        <v>695</v>
      </c>
      <c r="AC125" s="30" t="s">
        <v>696</v>
      </c>
      <c r="AD125" s="9" t="s">
        <v>112</v>
      </c>
      <c r="AE125" s="9" t="s">
        <v>261</v>
      </c>
      <c r="AF125" s="9" t="s">
        <v>199</v>
      </c>
      <c r="AG125" s="9" t="s">
        <v>262</v>
      </c>
      <c r="AH125" s="9" t="s">
        <v>256</v>
      </c>
    </row>
    <row r="126" spans="1:34" ht="90.75" customHeight="1" x14ac:dyDescent="0.25">
      <c r="A126" s="40" t="s">
        <v>697</v>
      </c>
      <c r="B126" s="41" t="s">
        <v>207</v>
      </c>
      <c r="C126" s="29">
        <v>0.62</v>
      </c>
      <c r="D126" s="29">
        <v>0.62</v>
      </c>
      <c r="E126" s="29">
        <v>0.62</v>
      </c>
      <c r="F126" s="29">
        <v>0.62</v>
      </c>
      <c r="G126" s="29">
        <v>0.62</v>
      </c>
      <c r="H126" s="29">
        <v>20</v>
      </c>
      <c r="I126" s="30"/>
      <c r="J126" s="30"/>
      <c r="K126" s="30"/>
      <c r="L126" s="30" t="s">
        <v>698</v>
      </c>
      <c r="M126" s="32" t="s">
        <v>273</v>
      </c>
      <c r="N126" s="29">
        <v>4</v>
      </c>
      <c r="O126" s="30" t="s">
        <v>49</v>
      </c>
      <c r="P126" s="29">
        <f t="shared" si="9"/>
        <v>0.62</v>
      </c>
      <c r="Q126" s="29">
        <f t="shared" si="10"/>
        <v>38</v>
      </c>
      <c r="R126" s="30" t="s">
        <v>54</v>
      </c>
      <c r="S126" s="30" t="s">
        <v>522</v>
      </c>
      <c r="T126" s="30" t="s">
        <v>359</v>
      </c>
      <c r="U126" s="29" t="s">
        <v>247</v>
      </c>
      <c r="V126" s="29" t="s">
        <v>247</v>
      </c>
      <c r="W126" s="29" t="str">
        <f t="shared" si="11"/>
        <v>NR</v>
      </c>
      <c r="X126" s="30" t="s">
        <v>248</v>
      </c>
      <c r="Y126" s="30" t="s">
        <v>247</v>
      </c>
      <c r="Z126" s="30" t="s">
        <v>250</v>
      </c>
      <c r="AA126" s="30" t="s">
        <v>251</v>
      </c>
      <c r="AB126" s="30" t="s">
        <v>252</v>
      </c>
      <c r="AC126" s="30" t="s">
        <v>699</v>
      </c>
      <c r="AD126" s="9" t="s">
        <v>112</v>
      </c>
      <c r="AE126" s="9" t="s">
        <v>261</v>
      </c>
      <c r="AF126" s="9" t="s">
        <v>523</v>
      </c>
      <c r="AG126" s="9" t="s">
        <v>262</v>
      </c>
      <c r="AH126" s="9" t="s">
        <v>256</v>
      </c>
    </row>
    <row r="127" spans="1:34" ht="23.25" customHeight="1" x14ac:dyDescent="0.25">
      <c r="A127" s="40" t="s">
        <v>335</v>
      </c>
      <c r="B127" s="41" t="s">
        <v>207</v>
      </c>
      <c r="C127" s="29">
        <v>0.67</v>
      </c>
      <c r="D127" s="29">
        <v>0.67</v>
      </c>
      <c r="E127" s="29">
        <v>0.67</v>
      </c>
      <c r="F127" s="29">
        <v>0.67</v>
      </c>
      <c r="G127" s="29">
        <v>0.67</v>
      </c>
      <c r="H127" s="29">
        <v>20</v>
      </c>
      <c r="I127" s="30"/>
      <c r="J127" s="30"/>
      <c r="K127" s="30"/>
      <c r="L127" s="30" t="s">
        <v>700</v>
      </c>
      <c r="M127" s="32" t="s">
        <v>273</v>
      </c>
      <c r="N127" s="29">
        <v>4</v>
      </c>
      <c r="O127" s="30" t="s">
        <v>55</v>
      </c>
      <c r="P127" s="29">
        <f t="shared" si="9"/>
        <v>0.67</v>
      </c>
      <c r="Q127" s="29">
        <f t="shared" si="10"/>
        <v>33</v>
      </c>
      <c r="R127" s="30" t="s">
        <v>54</v>
      </c>
      <c r="S127" s="30" t="s">
        <v>193</v>
      </c>
      <c r="T127" s="30" t="s">
        <v>313</v>
      </c>
      <c r="U127" s="29">
        <v>420</v>
      </c>
      <c r="V127" s="29">
        <v>15200</v>
      </c>
      <c r="W127" s="29">
        <f t="shared" si="11"/>
        <v>7810</v>
      </c>
      <c r="X127" s="30" t="s">
        <v>319</v>
      </c>
      <c r="Y127" s="30" t="s">
        <v>701</v>
      </c>
      <c r="Z127" s="30" t="s">
        <v>250</v>
      </c>
      <c r="AA127" s="30" t="s">
        <v>367</v>
      </c>
      <c r="AB127" s="30" t="s">
        <v>269</v>
      </c>
      <c r="AC127" s="30" t="s">
        <v>630</v>
      </c>
      <c r="AD127" s="9" t="s">
        <v>112</v>
      </c>
      <c r="AE127" s="9" t="s">
        <v>261</v>
      </c>
      <c r="AF127" s="9" t="s">
        <v>578</v>
      </c>
      <c r="AG127" s="9" t="s">
        <v>702</v>
      </c>
      <c r="AH127" s="9" t="s">
        <v>256</v>
      </c>
    </row>
    <row r="128" spans="1:34" ht="45.75" customHeight="1" x14ac:dyDescent="0.25">
      <c r="A128" s="40" t="s">
        <v>703</v>
      </c>
      <c r="B128" s="41" t="s">
        <v>212</v>
      </c>
      <c r="C128" s="29">
        <v>0.36499999999999999</v>
      </c>
      <c r="D128" s="29">
        <v>0.36499999999999999</v>
      </c>
      <c r="E128" s="29">
        <v>0.36499999999999999</v>
      </c>
      <c r="F128" s="29">
        <v>0.36499999999999999</v>
      </c>
      <c r="G128" s="29">
        <v>0.36499999999999999</v>
      </c>
      <c r="H128" s="29">
        <v>20</v>
      </c>
      <c r="I128" s="30"/>
      <c r="J128" s="30"/>
      <c r="K128" s="30"/>
      <c r="L128" s="30" t="s">
        <v>704</v>
      </c>
      <c r="M128" s="31" t="s">
        <v>244</v>
      </c>
      <c r="N128" s="29">
        <v>4</v>
      </c>
      <c r="O128" s="30" t="s">
        <v>248</v>
      </c>
      <c r="P128" s="29">
        <f t="shared" si="9"/>
        <v>0.36499999999999999</v>
      </c>
      <c r="Q128" s="29">
        <f t="shared" si="10"/>
        <v>63.5</v>
      </c>
      <c r="R128" s="30" t="s">
        <v>245</v>
      </c>
      <c r="S128" s="30" t="s">
        <v>54</v>
      </c>
      <c r="T128" s="30" t="s">
        <v>265</v>
      </c>
      <c r="U128" s="29" t="s">
        <v>247</v>
      </c>
      <c r="V128" s="29" t="s">
        <v>247</v>
      </c>
      <c r="W128" s="29" t="str">
        <f t="shared" si="11"/>
        <v>NR</v>
      </c>
      <c r="X128" s="30" t="s">
        <v>248</v>
      </c>
      <c r="Y128" s="30" t="s">
        <v>247</v>
      </c>
      <c r="Z128" s="30" t="s">
        <v>250</v>
      </c>
      <c r="AA128" s="30" t="s">
        <v>297</v>
      </c>
      <c r="AB128" s="30" t="s">
        <v>252</v>
      </c>
      <c r="AC128" s="30"/>
      <c r="AD128" s="9" t="s">
        <v>112</v>
      </c>
      <c r="AE128" s="9" t="s">
        <v>254</v>
      </c>
      <c r="AF128" s="9" t="s">
        <v>199</v>
      </c>
      <c r="AG128" s="9" t="s">
        <v>262</v>
      </c>
      <c r="AH128" s="9" t="s">
        <v>112</v>
      </c>
    </row>
    <row r="129" spans="1:34" ht="34.5" customHeight="1" x14ac:dyDescent="0.25">
      <c r="A129" s="40" t="s">
        <v>705</v>
      </c>
      <c r="B129" s="41" t="s">
        <v>212</v>
      </c>
      <c r="C129" s="29">
        <v>0.79900000000000004</v>
      </c>
      <c r="D129" s="29">
        <v>0.79900000000000004</v>
      </c>
      <c r="E129" s="29">
        <v>0.79900000000000004</v>
      </c>
      <c r="F129" s="29">
        <v>0.79900000000000004</v>
      </c>
      <c r="G129" s="29">
        <v>0.79900000000000004</v>
      </c>
      <c r="H129" s="29">
        <v>20</v>
      </c>
      <c r="I129" s="30"/>
      <c r="J129" s="30"/>
      <c r="K129" s="30"/>
      <c r="L129" s="30" t="s">
        <v>706</v>
      </c>
      <c r="M129" s="31" t="s">
        <v>244</v>
      </c>
      <c r="N129" s="29">
        <v>4</v>
      </c>
      <c r="O129" s="30" t="s">
        <v>54</v>
      </c>
      <c r="P129" s="29">
        <f t="shared" si="9"/>
        <v>0.79900000000000004</v>
      </c>
      <c r="Q129" s="29">
        <f t="shared" si="10"/>
        <v>20.100000000000001</v>
      </c>
      <c r="R129" s="30" t="s">
        <v>54</v>
      </c>
      <c r="S129" s="30" t="s">
        <v>54</v>
      </c>
      <c r="T129" s="30" t="s">
        <v>313</v>
      </c>
      <c r="U129" s="29">
        <v>3475</v>
      </c>
      <c r="V129" s="29">
        <v>65850</v>
      </c>
      <c r="W129" s="29">
        <f t="shared" si="11"/>
        <v>34663</v>
      </c>
      <c r="X129" s="30" t="s">
        <v>319</v>
      </c>
      <c r="Y129" s="30" t="s">
        <v>247</v>
      </c>
      <c r="Z129" s="30" t="s">
        <v>250</v>
      </c>
      <c r="AA129" s="30" t="s">
        <v>251</v>
      </c>
      <c r="AB129" s="30" t="s">
        <v>252</v>
      </c>
      <c r="AC129" s="30"/>
      <c r="AD129" s="9" t="s">
        <v>112</v>
      </c>
      <c r="AE129" s="9" t="s">
        <v>261</v>
      </c>
      <c r="AF129" s="9" t="s">
        <v>199</v>
      </c>
      <c r="AG129" s="9" t="s">
        <v>707</v>
      </c>
      <c r="AH129" s="9" t="s">
        <v>112</v>
      </c>
    </row>
    <row r="130" spans="1:34" ht="79.5" customHeight="1" x14ac:dyDescent="0.25">
      <c r="A130" s="40" t="s">
        <v>708</v>
      </c>
      <c r="B130" s="41" t="s">
        <v>212</v>
      </c>
      <c r="C130" s="29">
        <v>0.222</v>
      </c>
      <c r="D130" s="29">
        <v>0.222</v>
      </c>
      <c r="E130" s="29">
        <v>0.222</v>
      </c>
      <c r="F130" s="29">
        <v>0.222</v>
      </c>
      <c r="G130" s="29">
        <v>0.222</v>
      </c>
      <c r="H130" s="29">
        <v>20</v>
      </c>
      <c r="I130" s="30"/>
      <c r="J130" s="30"/>
      <c r="K130" s="30"/>
      <c r="L130" s="30" t="s">
        <v>709</v>
      </c>
      <c r="M130" s="32" t="s">
        <v>273</v>
      </c>
      <c r="N130" s="29">
        <v>4</v>
      </c>
      <c r="O130" s="30" t="s">
        <v>54</v>
      </c>
      <c r="P130" s="29">
        <f t="shared" si="9"/>
        <v>0.222</v>
      </c>
      <c r="Q130" s="29">
        <f t="shared" si="10"/>
        <v>77.8</v>
      </c>
      <c r="R130" s="30" t="s">
        <v>54</v>
      </c>
      <c r="S130" s="30" t="s">
        <v>710</v>
      </c>
      <c r="T130" s="30" t="s">
        <v>265</v>
      </c>
      <c r="U130" s="29">
        <v>1280</v>
      </c>
      <c r="V130" s="29">
        <v>22600</v>
      </c>
      <c r="W130" s="29">
        <f t="shared" si="11"/>
        <v>11940</v>
      </c>
      <c r="X130" s="30" t="s">
        <v>248</v>
      </c>
      <c r="Y130" s="30" t="s">
        <v>247</v>
      </c>
      <c r="Z130" s="30" t="s">
        <v>250</v>
      </c>
      <c r="AA130" s="30" t="s">
        <v>281</v>
      </c>
      <c r="AB130" s="30" t="s">
        <v>252</v>
      </c>
      <c r="AC130" s="30" t="s">
        <v>289</v>
      </c>
      <c r="AD130" s="9" t="s">
        <v>112</v>
      </c>
      <c r="AE130" s="9" t="s">
        <v>261</v>
      </c>
      <c r="AF130" s="9" t="s">
        <v>711</v>
      </c>
      <c r="AG130" s="9" t="s">
        <v>712</v>
      </c>
      <c r="AH130" s="9" t="s">
        <v>112</v>
      </c>
    </row>
    <row r="131" spans="1:34" ht="79.5" customHeight="1" x14ac:dyDescent="0.25">
      <c r="A131" s="40" t="s">
        <v>713</v>
      </c>
      <c r="B131" s="41" t="s">
        <v>212</v>
      </c>
      <c r="C131" s="29">
        <v>0.30599999999999999</v>
      </c>
      <c r="D131" s="29">
        <v>0.30599999999999999</v>
      </c>
      <c r="E131" s="29">
        <v>0.30599999999999999</v>
      </c>
      <c r="F131" s="29">
        <v>0.30599999999999999</v>
      </c>
      <c r="G131" s="29">
        <v>0.30599999999999999</v>
      </c>
      <c r="H131" s="29">
        <v>20</v>
      </c>
      <c r="I131" s="30"/>
      <c r="J131" s="30"/>
      <c r="K131" s="30"/>
      <c r="L131" s="30" t="s">
        <v>714</v>
      </c>
      <c r="M131" s="32" t="s">
        <v>273</v>
      </c>
      <c r="N131" s="29">
        <v>4</v>
      </c>
      <c r="O131" s="30" t="s">
        <v>54</v>
      </c>
      <c r="P131" s="29">
        <f t="shared" si="9"/>
        <v>0.30599999999999999</v>
      </c>
      <c r="Q131" s="29">
        <f t="shared" ref="Q131:Q162" si="12">IF(ISNUMBER(P131),ROUND((1-P131)*100,1),"NR")</f>
        <v>69.400000000000006</v>
      </c>
      <c r="R131" s="30" t="s">
        <v>54</v>
      </c>
      <c r="S131" s="30" t="s">
        <v>710</v>
      </c>
      <c r="T131" s="30" t="s">
        <v>54</v>
      </c>
      <c r="U131" s="29">
        <v>14961</v>
      </c>
      <c r="V131" s="29">
        <v>158656</v>
      </c>
      <c r="W131" s="29">
        <f t="shared" ref="W131:W162" si="13">IF(AND(ISNUMBER(U131),ISNUMBER(V131)),ROUND((U131+V131)/2,0),IF(ISNUMBER(U131),U131,IF(ISNUMBER(V131),V131,"NR")))</f>
        <v>86809</v>
      </c>
      <c r="X131" s="30" t="s">
        <v>248</v>
      </c>
      <c r="Y131" s="30" t="s">
        <v>247</v>
      </c>
      <c r="Z131" s="30" t="s">
        <v>250</v>
      </c>
      <c r="AA131" s="30" t="s">
        <v>503</v>
      </c>
      <c r="AB131" s="30" t="s">
        <v>252</v>
      </c>
      <c r="AC131" s="30" t="s">
        <v>289</v>
      </c>
      <c r="AD131" s="9" t="s">
        <v>112</v>
      </c>
      <c r="AE131" s="9" t="s">
        <v>261</v>
      </c>
      <c r="AF131" s="9" t="s">
        <v>711</v>
      </c>
      <c r="AG131" s="9" t="s">
        <v>715</v>
      </c>
      <c r="AH131" s="9" t="s">
        <v>112</v>
      </c>
    </row>
    <row r="132" spans="1:34" ht="79.5" customHeight="1" x14ac:dyDescent="0.25">
      <c r="A132" s="40" t="s">
        <v>716</v>
      </c>
      <c r="B132" s="41" t="s">
        <v>212</v>
      </c>
      <c r="C132" s="29">
        <v>0.33</v>
      </c>
      <c r="D132" s="29">
        <v>0.33</v>
      </c>
      <c r="E132" s="29">
        <v>0.33</v>
      </c>
      <c r="F132" s="29">
        <v>0.33</v>
      </c>
      <c r="G132" s="29">
        <v>0.33</v>
      </c>
      <c r="H132" s="29">
        <v>20</v>
      </c>
      <c r="I132" s="30"/>
      <c r="J132" s="30"/>
      <c r="K132" s="30"/>
      <c r="L132" s="30" t="s">
        <v>717</v>
      </c>
      <c r="M132" s="32" t="s">
        <v>273</v>
      </c>
      <c r="N132" s="29">
        <v>4</v>
      </c>
      <c r="O132" s="30" t="s">
        <v>54</v>
      </c>
      <c r="P132" s="29">
        <f t="shared" si="9"/>
        <v>0.33</v>
      </c>
      <c r="Q132" s="29">
        <f t="shared" si="12"/>
        <v>67</v>
      </c>
      <c r="R132" s="30" t="s">
        <v>54</v>
      </c>
      <c r="S132" s="30" t="s">
        <v>718</v>
      </c>
      <c r="T132" s="30" t="s">
        <v>54</v>
      </c>
      <c r="U132" s="29">
        <v>2508</v>
      </c>
      <c r="V132" s="29">
        <v>50811</v>
      </c>
      <c r="W132" s="29">
        <f t="shared" si="13"/>
        <v>26660</v>
      </c>
      <c r="X132" s="30" t="s">
        <v>248</v>
      </c>
      <c r="Y132" s="30" t="s">
        <v>247</v>
      </c>
      <c r="Z132" s="30" t="s">
        <v>250</v>
      </c>
      <c r="AA132" s="30" t="s">
        <v>503</v>
      </c>
      <c r="AB132" s="30" t="s">
        <v>252</v>
      </c>
      <c r="AC132" s="30" t="s">
        <v>289</v>
      </c>
      <c r="AD132" s="9" t="s">
        <v>112</v>
      </c>
      <c r="AE132" s="9" t="s">
        <v>261</v>
      </c>
      <c r="AF132" s="9" t="s">
        <v>719</v>
      </c>
      <c r="AG132" s="9" t="s">
        <v>720</v>
      </c>
      <c r="AH132" s="9" t="s">
        <v>112</v>
      </c>
    </row>
    <row r="133" spans="1:34" ht="79.5" customHeight="1" x14ac:dyDescent="0.25">
      <c r="A133" s="40" t="s">
        <v>721</v>
      </c>
      <c r="B133" s="41" t="s">
        <v>212</v>
      </c>
      <c r="C133" s="29">
        <v>0.44</v>
      </c>
      <c r="D133" s="29">
        <v>0.44</v>
      </c>
      <c r="E133" s="29">
        <v>0.44</v>
      </c>
      <c r="F133" s="29">
        <v>0.44</v>
      </c>
      <c r="G133" s="29">
        <v>0.44</v>
      </c>
      <c r="H133" s="29">
        <v>20</v>
      </c>
      <c r="I133" s="30"/>
      <c r="J133" s="30"/>
      <c r="K133" s="30"/>
      <c r="L133" s="30" t="s">
        <v>722</v>
      </c>
      <c r="M133" s="32" t="s">
        <v>273</v>
      </c>
      <c r="N133" s="29">
        <v>4</v>
      </c>
      <c r="O133" s="30" t="s">
        <v>54</v>
      </c>
      <c r="P133" s="29">
        <f t="shared" si="9"/>
        <v>0.44</v>
      </c>
      <c r="Q133" s="29">
        <f t="shared" si="12"/>
        <v>56</v>
      </c>
      <c r="R133" s="30" t="s">
        <v>54</v>
      </c>
      <c r="S133" s="30" t="s">
        <v>432</v>
      </c>
      <c r="T133" s="30" t="s">
        <v>54</v>
      </c>
      <c r="U133" s="29">
        <v>628</v>
      </c>
      <c r="V133" s="29">
        <v>30314</v>
      </c>
      <c r="W133" s="29">
        <f t="shared" si="13"/>
        <v>15471</v>
      </c>
      <c r="X133" s="30" t="s">
        <v>248</v>
      </c>
      <c r="Y133" s="30" t="s">
        <v>247</v>
      </c>
      <c r="Z133" s="30" t="s">
        <v>250</v>
      </c>
      <c r="AA133" s="30" t="s">
        <v>281</v>
      </c>
      <c r="AB133" s="30" t="s">
        <v>252</v>
      </c>
      <c r="AC133" s="30" t="s">
        <v>289</v>
      </c>
      <c r="AD133" s="9" t="s">
        <v>112</v>
      </c>
      <c r="AE133" s="9" t="s">
        <v>261</v>
      </c>
      <c r="AF133" s="9" t="s">
        <v>435</v>
      </c>
      <c r="AG133" s="9" t="s">
        <v>723</v>
      </c>
      <c r="AH133" s="9" t="s">
        <v>112</v>
      </c>
    </row>
    <row r="134" spans="1:34" ht="79.5" customHeight="1" x14ac:dyDescent="0.25">
      <c r="A134" s="40" t="s">
        <v>724</v>
      </c>
      <c r="B134" s="41" t="s">
        <v>212</v>
      </c>
      <c r="C134" s="29">
        <v>0.48</v>
      </c>
      <c r="D134" s="29">
        <v>0.48</v>
      </c>
      <c r="E134" s="29">
        <v>0.48</v>
      </c>
      <c r="F134" s="29">
        <v>0.48</v>
      </c>
      <c r="G134" s="29">
        <v>0.48</v>
      </c>
      <c r="H134" s="29">
        <v>20</v>
      </c>
      <c r="I134" s="30"/>
      <c r="J134" s="30"/>
      <c r="K134" s="30"/>
      <c r="L134" s="30" t="s">
        <v>725</v>
      </c>
      <c r="M134" s="32" t="s">
        <v>273</v>
      </c>
      <c r="N134" s="29">
        <v>4</v>
      </c>
      <c r="O134" s="30" t="s">
        <v>54</v>
      </c>
      <c r="P134" s="29">
        <f t="shared" si="9"/>
        <v>0.48</v>
      </c>
      <c r="Q134" s="29">
        <f t="shared" si="12"/>
        <v>52</v>
      </c>
      <c r="R134" s="30" t="s">
        <v>54</v>
      </c>
      <c r="S134" s="30" t="s">
        <v>718</v>
      </c>
      <c r="T134" s="30" t="s">
        <v>54</v>
      </c>
      <c r="U134" s="29">
        <v>10240</v>
      </c>
      <c r="V134" s="29">
        <v>278200</v>
      </c>
      <c r="W134" s="29">
        <f t="shared" si="13"/>
        <v>144220</v>
      </c>
      <c r="X134" s="30" t="s">
        <v>248</v>
      </c>
      <c r="Y134" s="30" t="s">
        <v>247</v>
      </c>
      <c r="Z134" s="30" t="s">
        <v>250</v>
      </c>
      <c r="AA134" s="30" t="s">
        <v>281</v>
      </c>
      <c r="AB134" s="30" t="s">
        <v>252</v>
      </c>
      <c r="AC134" s="30" t="s">
        <v>289</v>
      </c>
      <c r="AD134" s="9" t="s">
        <v>112</v>
      </c>
      <c r="AE134" s="9" t="s">
        <v>261</v>
      </c>
      <c r="AF134" s="9" t="s">
        <v>719</v>
      </c>
      <c r="AG134" s="9" t="s">
        <v>726</v>
      </c>
      <c r="AH134" s="9" t="s">
        <v>112</v>
      </c>
    </row>
    <row r="135" spans="1:34" ht="79.5" customHeight="1" x14ac:dyDescent="0.25">
      <c r="A135" s="40" t="s">
        <v>727</v>
      </c>
      <c r="B135" s="41" t="s">
        <v>212</v>
      </c>
      <c r="C135" s="29">
        <v>0.53100000000000003</v>
      </c>
      <c r="D135" s="29">
        <v>0.53100000000000003</v>
      </c>
      <c r="E135" s="29">
        <v>0.53100000000000003</v>
      </c>
      <c r="F135" s="29">
        <v>0.53100000000000003</v>
      </c>
      <c r="G135" s="29">
        <v>0.53100000000000003</v>
      </c>
      <c r="H135" s="29">
        <v>20</v>
      </c>
      <c r="I135" s="30"/>
      <c r="J135" s="30"/>
      <c r="K135" s="30"/>
      <c r="L135" s="30" t="s">
        <v>728</v>
      </c>
      <c r="M135" s="32" t="s">
        <v>273</v>
      </c>
      <c r="N135" s="29">
        <v>4</v>
      </c>
      <c r="O135" s="30" t="s">
        <v>54</v>
      </c>
      <c r="P135" s="29">
        <f t="shared" si="9"/>
        <v>0.53100000000000003</v>
      </c>
      <c r="Q135" s="29">
        <f t="shared" si="12"/>
        <v>46.9</v>
      </c>
      <c r="R135" s="30" t="s">
        <v>54</v>
      </c>
      <c r="S135" s="30" t="s">
        <v>718</v>
      </c>
      <c r="T135" s="30" t="s">
        <v>54</v>
      </c>
      <c r="U135" s="29">
        <v>69</v>
      </c>
      <c r="V135" s="29">
        <v>8489</v>
      </c>
      <c r="W135" s="29">
        <f t="shared" si="13"/>
        <v>4279</v>
      </c>
      <c r="X135" s="30" t="s">
        <v>248</v>
      </c>
      <c r="Y135" s="30" t="s">
        <v>247</v>
      </c>
      <c r="Z135" s="30" t="s">
        <v>250</v>
      </c>
      <c r="AA135" s="30" t="s">
        <v>503</v>
      </c>
      <c r="AB135" s="30" t="s">
        <v>252</v>
      </c>
      <c r="AC135" s="30" t="s">
        <v>289</v>
      </c>
      <c r="AD135" s="9" t="s">
        <v>112</v>
      </c>
      <c r="AE135" s="9" t="s">
        <v>261</v>
      </c>
      <c r="AF135" s="9" t="s">
        <v>719</v>
      </c>
      <c r="AG135" s="9" t="s">
        <v>729</v>
      </c>
      <c r="AH135" s="9" t="s">
        <v>112</v>
      </c>
    </row>
  </sheetData>
  <autoFilter ref="A2:AC135" xr:uid="{00000000-0009-0000-0000-000004000000}"/>
  <mergeCells count="1">
    <mergeCell ref="A1:AC1"/>
  </mergeCells>
  <conditionalFormatting sqref="N3:N135">
    <cfRule type="colorScale" priority="2">
      <colorScale>
        <cfvo type="num" val="1"/>
        <cfvo type="num" val="3"/>
        <cfvo type="num" val="5"/>
        <color rgb="FFF8696B"/>
        <color rgb="FFFFEB84"/>
        <color rgb="FF63BE7B"/>
      </colorScale>
    </cfRule>
  </conditionalFormatting>
  <conditionalFormatting sqref="P3:P135">
    <cfRule type="colorScale" priority="3">
      <colorScale>
        <cfvo type="min"/>
        <cfvo type="percentile" val="50"/>
        <cfvo type="max"/>
        <color rgb="FF63BE7B"/>
        <color rgb="FFFFEB84"/>
        <color rgb="FFF8696B"/>
      </colorScale>
    </cfRule>
  </conditionalFormatting>
  <conditionalFormatting sqref="Q3:Q135">
    <cfRule type="colorScale" priority="4">
      <colorScale>
        <cfvo type="min"/>
        <cfvo type="percentile" val="50"/>
        <cfvo type="max"/>
        <color rgb="FFF8696B"/>
        <color rgb="FFFFEB84"/>
        <color rgb="FF63BE7B"/>
      </colorScale>
    </cfRule>
  </conditionalFormatting>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Treatment Selector</vt:lpstr>
      <vt:lpstr>Countermeasures</vt:lpstr>
      <vt:lpstr>Treatments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GuzmanDG@scdot.gov</dc:creator>
  <dc:description/>
  <cp:lastModifiedBy>Guzman Gomez, Delio, G.</cp:lastModifiedBy>
  <cp:revision>0</cp:revision>
  <dcterms:created xsi:type="dcterms:W3CDTF">2026-06-24T14:34:26Z</dcterms:created>
  <dcterms:modified xsi:type="dcterms:W3CDTF">2026-09-02T20:16:18Z</dcterms:modified>
  <dc:language>en-US</dc:language>
</cp:coreProperties>
</file>