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ummary" sheetId="1" state="visible" r:id="rId3"/>
    <sheet name="Treatment Selector" sheetId="2" state="visible" r:id="rId4"/>
    <sheet name="Countermeasures" sheetId="3" state="visible" r:id="rId5"/>
    <sheet name="Treatments" sheetId="4" state="visible" r:id="rId6"/>
    <sheet name="Field Reference" sheetId="5" state="visible" r:id="rId7"/>
    <sheet name="Changes" sheetId="6" state="visible" r:id="rId8"/>
  </sheets>
  <definedNames>
    <definedName function="false" hidden="true" localSheetId="2" name="_xlnm._FilterDatabase" vbProcedure="false">Countermeasures!$A$3:$K$33</definedName>
    <definedName function="false" hidden="true" localSheetId="3" name="_xlnm._FilterDatabase" vbProcedure="false">Treatments!$A$2:$AI$135</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C2" authorId="0">
      <text>
        <r>
          <rPr>
            <sz val="10"/>
            <rFont val="Arial"/>
            <family val="2"/>
          </rPr>
          <t xml:space="preserve">K-O columns read the study CMF in column P. A severity the study did not cover gets 1.00 (no effect), so AASHTOWare doesn't credit a reduction the study never measured.</t>
        </r>
      </text>
    </comment>
    <comment ref="AH2" authorId="0">
      <text>
        <r>
          <rPr>
            <sz val="10"/>
            <rFont val="Arial"/>
            <family val="2"/>
          </rPr>
          <t xml:space="preserve">OK: CMF measured the same crashes the criteria picks.
Understates: CMF is for all crash types, applied here to a smaller group - conservative.
Overstates: CMF measured a narrower group (night only, right-turn only...) than the criteria - benefit is too high.
Check: different crash type or facility.</t>
        </r>
      </text>
    </comment>
  </commentList>
</comments>
</file>

<file path=xl/sharedStrings.xml><?xml version="1.0" encoding="utf-8"?>
<sst xmlns="http://schemas.openxmlformats.org/spreadsheetml/2006/main" count="4004" uniqueCount="957">
  <si>
    <t xml:space="preserve">Treatments &amp; Countermeasures</t>
  </si>
  <si>
    <t xml:space="preserve">Summary</t>
  </si>
  <si>
    <t xml:space="preserve">Countermeasures</t>
  </si>
  <si>
    <t xml:space="preserve">Treatments</t>
  </si>
  <si>
    <t xml:space="preserve">Usable</t>
  </si>
  <si>
    <t xml:space="preserve">Excluded</t>
  </si>
  <si>
    <t xml:space="preserve">4-5 star treatments</t>
  </si>
  <si>
    <t xml:space="preserve">Avg crash reduction (CRF)</t>
  </si>
  <si>
    <t xml:space="preserve">CMF fit with criteria</t>
  </si>
  <si>
    <t xml:space="preserve">OK</t>
  </si>
  <si>
    <t xml:space="preserve">Same crashes</t>
  </si>
  <si>
    <t xml:space="preserve">Understates</t>
  </si>
  <si>
    <t xml:space="preserve">CMF is for all crash types</t>
  </si>
  <si>
    <t xml:space="preserve">Overstates</t>
  </si>
  <si>
    <t xml:space="preserve">CMF is for a narrower group</t>
  </si>
  <si>
    <t xml:space="preserve">Check</t>
  </si>
  <si>
    <t xml:space="preserve">Needs a decision</t>
  </si>
  <si>
    <t xml:space="preserve">Severity-limited CMFs</t>
  </si>
  <si>
    <t xml:space="preserve">Treatments where K-O is not all the same</t>
  </si>
  <si>
    <t xml:space="preserve">TREATMENT SELECTOR</t>
  </si>
  <si>
    <t xml:space="preserve">INPUTS</t>
  </si>
  <si>
    <t xml:space="preserve">Area Type</t>
  </si>
  <si>
    <t xml:space="preserve">Any</t>
  </si>
  <si>
    <t xml:space="preserve">Location</t>
  </si>
  <si>
    <t xml:space="preserve">Traffic Control</t>
  </si>
  <si>
    <t xml:space="preserve">Primary Crash Type</t>
  </si>
  <si>
    <t xml:space="preserve">Lane Departure</t>
  </si>
  <si>
    <t xml:space="preserve">AADT (optional)</t>
  </si>
  <si>
    <t xml:space="preserve">Through Lanes (optional)</t>
  </si>
  <si>
    <t xml:space="preserve">Speed Limit (optional)</t>
  </si>
  <si>
    <t xml:space="preserve">Roadway Type (optional)</t>
  </si>
  <si>
    <t xml:space="preserve">Severity focus (optional)</t>
  </si>
  <si>
    <t xml:space="preserve">RECOMMENDED TREATMENTS</t>
  </si>
  <si>
    <t xml:space="preserve">Rank</t>
  </si>
  <si>
    <t xml:space="preserve">Treatment</t>
  </si>
  <si>
    <t xml:space="preserve">Countermeasure</t>
  </si>
  <si>
    <t xml:space="preserve">Exp. reduction (CRF)</t>
  </si>
  <si>
    <t xml:space="preserve">CMF</t>
  </si>
  <si>
    <t xml:space="preserve">Star</t>
  </si>
  <si>
    <t xml:space="preserve">What it covers</t>
  </si>
  <si>
    <t xml:space="preserve">Read this before you use it</t>
  </si>
  <si>
    <t xml:space="preserve">Fit score</t>
  </si>
  <si>
    <t xml:space="preserve">Source</t>
  </si>
  <si>
    <t xml:space="preserve">v engine (hidden) v</t>
  </si>
  <si>
    <t xml:space="preserve">idx</t>
  </si>
  <si>
    <t xml:space="preserve">CM</t>
  </si>
  <si>
    <t xml:space="preserve">CRF</t>
  </si>
  <si>
    <t xml:space="preserve">AADTmin</t>
  </si>
  <si>
    <t xml:space="preserve">AADTmax</t>
  </si>
  <si>
    <t xml:space="preserve">Area</t>
  </si>
  <si>
    <t xml:space="preserve">Loc</t>
  </si>
  <si>
    <t xml:space="preserve">Control</t>
  </si>
  <si>
    <t xml:space="preserve">Tags</t>
  </si>
  <si>
    <t xml:space="preserve">crashSc</t>
  </si>
  <si>
    <t xml:space="preserve">areaSc</t>
  </si>
  <si>
    <t xml:space="preserve">locSc</t>
  </si>
  <si>
    <t xml:space="preserve">ctrlSc</t>
  </si>
  <si>
    <t xml:space="preserve">aadtSc</t>
  </si>
  <si>
    <t xml:space="preserve">Fit</t>
  </si>
  <si>
    <t xml:space="preserve">Priority</t>
  </si>
  <si>
    <t xml:space="preserve">RoadCls</t>
  </si>
  <si>
    <t xml:space="preserve">roadSc</t>
  </si>
  <si>
    <t xml:space="preserve">Use</t>
  </si>
  <si>
    <t xml:space="preserve">SevScope</t>
  </si>
  <si>
    <t xml:space="preserve">sevSc</t>
  </si>
  <si>
    <t xml:space="preserve">Scope text</t>
  </si>
  <si>
    <t xml:space="preserve">Caution</t>
  </si>
  <si>
    <t xml:space="preserve">Urban</t>
  </si>
  <si>
    <t xml:space="preserve">Roadway Segment</t>
  </si>
  <si>
    <t xml:space="preserve">|All|Speeding|</t>
  </si>
  <si>
    <t xml:space="preserve">Freeway/Expressway</t>
  </si>
  <si>
    <t xml:space="preserve">Arterial/Collector</t>
  </si>
  <si>
    <t xml:space="preserve">All</t>
  </si>
  <si>
    <t xml:space="preserve">Rural</t>
  </si>
  <si>
    <t xml:space="preserve">|Speeding|</t>
  </si>
  <si>
    <t xml:space="preserve">|Bicycle|</t>
  </si>
  <si>
    <t xml:space="preserve">|All|Bicycle|</t>
  </si>
  <si>
    <t xml:space="preserve">Urban/Suburban</t>
  </si>
  <si>
    <t xml:space="preserve">|Bicycle|Pedestrian|</t>
  </si>
  <si>
    <t xml:space="preserve">|Bicycle|Nighttime|Pedestrian|</t>
  </si>
  <si>
    <t xml:space="preserve">Intersection</t>
  </si>
  <si>
    <t xml:space="preserve">Signalized</t>
  </si>
  <si>
    <t xml:space="preserve">Midblock Crossing</t>
  </si>
  <si>
    <t xml:space="preserve">Uncontrolled</t>
  </si>
  <si>
    <t xml:space="preserve">|Pedestrian|</t>
  </si>
  <si>
    <t xml:space="preserve">|All|Pedestrian|</t>
  </si>
  <si>
    <t xml:space="preserve">|All|Angle|Bicycle|Pedestrian|Rear-End|</t>
  </si>
  <si>
    <t xml:space="preserve">|Angle|Bicycle|Pedestrian|Rear-End|</t>
  </si>
  <si>
    <t xml:space="preserve">|Lane Departure|Nighttime|Roadway Departure|</t>
  </si>
  <si>
    <t xml:space="preserve">|All|Lane Departure|Roadway Departure|</t>
  </si>
  <si>
    <t xml:space="preserve">|Head-On|Lane Departure|Nighttime|Roadway Departure|Sideswipe|</t>
  </si>
  <si>
    <t xml:space="preserve">|Head-On|Lane Departure|Roadway Departure|Sideswipe|</t>
  </si>
  <si>
    <t xml:space="preserve">|Lane Departure|Roadway Departure|</t>
  </si>
  <si>
    <t xml:space="preserve">|All|Angle|Rear-End|</t>
  </si>
  <si>
    <t xml:space="preserve">|All|Angle|Head-On|Rear-End|</t>
  </si>
  <si>
    <t xml:space="preserve">|Angle|Head-On|Rear-End|</t>
  </si>
  <si>
    <t xml:space="preserve">|Angle|Head-On|Lane Departure|Rear-End|</t>
  </si>
  <si>
    <t xml:space="preserve">|All|Angle|Rear-End|Right Turn|</t>
  </si>
  <si>
    <t xml:space="preserve">|Angle|Rear-End|Right Turn|</t>
  </si>
  <si>
    <t xml:space="preserve">|All|Angle|Head-On|Left Turn|Rear-End|</t>
  </si>
  <si>
    <t xml:space="preserve">|Angle|Head-On|Left Turn|Rear-End|</t>
  </si>
  <si>
    <t xml:space="preserve">|All|Angle|Head-On|</t>
  </si>
  <si>
    <t xml:space="preserve">Stop-Controlled</t>
  </si>
  <si>
    <t xml:space="preserve">|Angle|</t>
  </si>
  <si>
    <t xml:space="preserve">|All|Angle|</t>
  </si>
  <si>
    <t xml:space="preserve">|Angle|Nighttime|</t>
  </si>
  <si>
    <t xml:space="preserve">|Nighttime|Pedestrian|</t>
  </si>
  <si>
    <t xml:space="preserve">|Nighttime|</t>
  </si>
  <si>
    <t xml:space="preserve">|All|Nighttime|</t>
  </si>
  <si>
    <t xml:space="preserve">|Nighttime|Rear-End|</t>
  </si>
  <si>
    <t xml:space="preserve">|All|Lane Departure|Roadway Departure|Wet/Friction|</t>
  </si>
  <si>
    <t xml:space="preserve">|Lane Departure|Roadway Departure|Wet/Friction|</t>
  </si>
  <si>
    <t xml:space="preserve">COUNTERMEASURES</t>
  </si>
  <si>
    <t xml:space="preserve">Criteria use the field names and dropdown labels from the SMS Condition Builder. Each line is one row in the builder; keep the parentheses as groups. Codes and the rules behind them are on the Field Reference sheet.</t>
  </si>
  <si>
    <t xml:space="preserve">Emphasis area</t>
  </si>
  <si>
    <t xml:space="preserve">Area type</t>
  </si>
  <si>
    <t xml:space="preserve">Crash types</t>
  </si>
  <si>
    <t xml:space="preserve">Traffic control</t>
  </si>
  <si>
    <t xml:space="preserve">Site conditions</t>
  </si>
  <si>
    <t xml:space="preserve">Crash criteria (as entered in the SMS / AASHTOWare Condition Builder)</t>
  </si>
  <si>
    <t xml:space="preserve">Notes</t>
  </si>
  <si>
    <t xml:space="preserve">Open item</t>
  </si>
  <si>
    <t xml:space="preserve"># Treat.</t>
  </si>
  <si>
    <t xml:space="preserve">Speed Management</t>
  </si>
  <si>
    <t xml:space="preserve">CM: Appropriate Speed Limits for All Road Users</t>
  </si>
  <si>
    <t xml:space="preserve">Speeding-related</t>
  </si>
  <si>
    <t xml:space="preserve">-</t>
  </si>
  <si>
    <t xml:space="preserve">Probable Cause = Exceeded Speed Limit</t>
  </si>
  <si>
    <t xml:space="preserve">Too Fast for Conditions left out on purpose (team decision, Jan 2025). Most CMFs in this group are for all crashes on the corridor, so the benefit comes out low.</t>
  </si>
  <si>
    <t xml:space="preserve">Ask Numetric what 'Speeding Related' contains. If it leaves out Too Fast for Conditions, use Speeding Related = Yes instead.</t>
  </si>
  <si>
    <t xml:space="preserve">Pedestrian/Bicyclist</t>
  </si>
  <si>
    <t xml:space="preserve">CM: Bicycle Lanes</t>
  </si>
  <si>
    <t xml:space="preserve">Bicycle</t>
  </si>
  <si>
    <t xml:space="preserve">(   Unit Type = Pedalcycle
 OR First Harmful Event = Pedalcycle )</t>
  </si>
  <si>
    <t xml:space="preserve">Vulnerable Road User Related also pulls in pedestrians, so it is not used here. Pedalcycle is code 26 in the SMS (25 on the new TR-310).</t>
  </si>
  <si>
    <t xml:space="preserve">CM: Crosswalk Visibility Enhancements</t>
  </si>
  <si>
    <t xml:space="preserve">Urban / Suburban</t>
  </si>
  <si>
    <t xml:space="preserve">Pedestrian</t>
  </si>
  <si>
    <t xml:space="preserve">Pedestrian Related = Yes
AND Intersection Related = Yes</t>
  </si>
  <si>
    <t xml:space="preserve">Bicyclists dropped: all three CMFs are vehicle-pedestrian. CMF 436 is night-only (see Treatments).</t>
  </si>
  <si>
    <t xml:space="preserve">CM: Leading Pedestrian Interval</t>
  </si>
  <si>
    <t xml:space="preserve">Signal</t>
  </si>
  <si>
    <t xml:space="preserve">Pedestrian Related = Yes
AND Intersection Related = Yes
AND Traffic Control = Traffic Signal</t>
  </si>
  <si>
    <t xml:space="preserve">Turning-vehicle filter removed. Both LPI CMFs are for all vehicle-pedestrian crashes at the intersection, not only turning ones.</t>
  </si>
  <si>
    <t xml:space="preserve">Confirm the dropdown label for signals under Traffic Control.</t>
  </si>
  <si>
    <t xml:space="preserve">CM: Medians and Pedestrian Refuge Islands in Urban and Suburban Areas</t>
  </si>
  <si>
    <t xml:space="preserve">Midblock</t>
  </si>
  <si>
    <t xml:space="preserve">4+ through lanes</t>
  </si>
  <si>
    <t xml:space="preserve">Pedestrian Related = Yes
AND Intersection Related = No
AND Area Type = Urban
AND Through Lanes &gt;= 4</t>
  </si>
  <si>
    <t xml:space="preserve">Lanes come from the Roadway data. CMF 2219 (0.29) is for all crashes, not pedestrian crashes.</t>
  </si>
  <si>
    <t xml:space="preserve">CM: Pedestrian Hybrid Beacons</t>
  </si>
  <si>
    <t xml:space="preserve">No signal</t>
  </si>
  <si>
    <t xml:space="preserve">Speed limit 35+ or 4+ lanes</t>
  </si>
  <si>
    <t xml:space="preserve">Pedestrian Related = Yes
AND Intersection Related = No
AND Traffic Control ≠ Traffic Signal
AND (   Speed Limit &gt;= 35
     OR Through Lanes &gt;= 4 )</t>
  </si>
  <si>
    <t xml:space="preserve">PHB and RRFB had identical criteria. Split by speed and lanes following the FHWA STEP guide for uncontrolled crossings. 35-40 mph overlaps on purpose; both are options there.</t>
  </si>
  <si>
    <t xml:space="preserve">Confirm Speed Limit is available under Roadway.</t>
  </si>
  <si>
    <t xml:space="preserve">CM: Rectangular Rapid Flashing Beacons (RRFB)</t>
  </si>
  <si>
    <t xml:space="preserve">Speed limit 40 or less</t>
  </si>
  <si>
    <t xml:space="preserve">Pedestrian Related = Yes
AND Intersection Related = No
AND Traffic Control ≠ Traffic Signal
AND Speed Limit &lt;= 40</t>
  </si>
  <si>
    <t xml:space="preserve">RRFBs are not recommended on high-speed roads (FHWA STEP). Bicyclists dropped: both CMFs are vehicle-pedestrian.</t>
  </si>
  <si>
    <t xml:space="preserve">Same Speed Limit check as PHB.</t>
  </si>
  <si>
    <t xml:space="preserve">CM: Road Diets (Roadway Reconfiguration)</t>
  </si>
  <si>
    <t xml:space="preserve">Segment</t>
  </si>
  <si>
    <t xml:space="preserve">Rear-end, Head-on, Angle, Ped, Bike</t>
  </si>
  <si>
    <t xml:space="preserve">4 lanes, undivided, AADT 20,000 or less</t>
  </si>
  <si>
    <t xml:space="preserve">Area Type = Urban
AND Trafficway = Two-Way, Not Divided
AND Through Lanes = 4
AND AADT &lt;= 20000
AND (   Manner of Collision = Rear End
     OR Manner of Collision = Head On
     OR Manner of Collision = Angle
     OR Pedestrian Related = Yes
     OR Unit Type = Pedalcycle )</t>
  </si>
  <si>
    <t xml:space="preserve">AADT limit from the FHWA Road Diet guide. Freeway exclusion dropped: Two-Way, Not Divided already removes them. All three CMFs are for all crashes, so the benefit comes out low.</t>
  </si>
  <si>
    <t xml:space="preserve">Angle may show as three entries in the dropdown (SMS codes 41, 42, 43). Select all three.</t>
  </si>
  <si>
    <t xml:space="preserve">CM: Walkways</t>
  </si>
  <si>
    <t xml:space="preserve">Pedestrian Related = Yes
AND Intersection Related = No</t>
  </si>
  <si>
    <t xml:space="preserve">Walking-along-the-road filter dropped: the sidewalk CMF (11246) covers all vehicle-pedestrian crashes.</t>
  </si>
  <si>
    <t xml:space="preserve">If the SMS has a pedestrian action field, add 'walking along roadway' back.</t>
  </si>
  <si>
    <t xml:space="preserve">Roadway Departure</t>
  </si>
  <si>
    <t xml:space="preserve">CM: Enhanced Delineation for Horizontal Curves</t>
  </si>
  <si>
    <t xml:space="preserve">Segment (curve)</t>
  </si>
  <si>
    <t xml:space="preserve">Lane departure</t>
  </si>
  <si>
    <t xml:space="preserve">Curve</t>
  </si>
  <si>
    <t xml:space="preserve">Lane Departure = Yes
AND Junction Type = NON-JUNCTION
AND (   Road Character = Curve-Level
     OR Road Character = Curve-On Grade
     OR Road Character = Curve-Hillcrest )
AND Probable Cause ≠ Obstruction in Roadway
AND Probable Cause ≠ Debris</t>
  </si>
  <si>
    <t xml:space="preserve">Changed from Roadway Departure to Lane Departure so head-ons on the curve count; most curve CMFs cover all crashes at the curve. Curve Left / Curve Right do not exist in the SMS - Road Character does.</t>
  </si>
  <si>
    <t xml:space="preserve">Team: OK with Lane Departure here? 5 of the 9 CMFs are night-only (see Treatments).</t>
  </si>
  <si>
    <t xml:space="preserve">CM: Centerline Rumble Strips (Two-Lane Roads)</t>
  </si>
  <si>
    <t xml:space="preserve">Head-on, Sideswipe opp. direction</t>
  </si>
  <si>
    <t xml:space="preserve">2 lanes, undivided</t>
  </si>
  <si>
    <t xml:space="preserve">Lane Departure = Yes
AND Roadway Departure = No
AND Junction Type = NON-JUNCTION
AND Trafficway = Two-Way, Not Divided
AND Through Lanes = 2
AND Area Type = Rural</t>
  </si>
  <si>
    <t xml:space="preserve">Lane Departure minus Roadway Departure leaves Head On + Sideswipe, Opposite Direction, which is what the CMFs measured. Rural added per the meeting; every CMF here is rural.</t>
  </si>
  <si>
    <t xml:space="preserve">CM: Shoulder Rumble Strips</t>
  </si>
  <si>
    <t xml:space="preserve">Run-off-road</t>
  </si>
  <si>
    <t xml:space="preserve">Roadway Departure = Yes
AND Junction Type = NON-JUNCTION
AND Area Type = Rural
AND Probable Cause ≠ Obstruction in Roadway
AND Probable Cause ≠ Debris</t>
  </si>
  <si>
    <t xml:space="preserve">Same crash group as SafetyEdge and Wider Edge Lines. That is fine: they are alternative fixes for the same crashes and AASHTOWare ranks them by B/C.</t>
  </si>
  <si>
    <t xml:space="preserve">CM: Median Barriers</t>
  </si>
  <si>
    <t xml:space="preserve">Cross-median, Head-on, Sideswipe opp., median ROR / fixed object</t>
  </si>
  <si>
    <t xml:space="preserve">Divided, no barrier, AADT over 20,000</t>
  </si>
  <si>
    <t xml:space="preserve">Junction Type = NON-JUNCTION
AND Trafficway = Two-Way, Divided, Unprotected Median
AND AADT &gt; 20000
AND (   Manner of Collision = Head On
     OR Manner of Collision = Sideswipe, Opposite Direction
     OR Sequence of Events = Cross Median/Center
     OR Sequence of Events = Ran off Road Left
     OR First Harmful Event Location = Median )
AND First Harmful Event Location ≠ Roadside
AND First Harmful Event Location ≠ Outside Trafficway
AND Crash Harmful Event ≠ Median Barrier</t>
  </si>
  <si>
    <t xml:space="preserve">Trafficway drops undivided roads (centerline crashes), one-way ramps and roads that already have a barrier (I-20 crash 23239996). First Harmful Event Location = Median brings in every object in the median - piers, abutments, walls, poles, ditches - in one line. 'First Harmful Event ≠ Ran off Road Right' replaced with Location ≠ Roadside so a driver who goes right, overcorrects and crosses the median stays in. AADT &gt; 20,000 matches AASHTO RDG Fig. 6-1.</t>
  </si>
  <si>
    <t xml:space="preserve">Median width (30 ft or less per RDG) is not in the crash data - check against inventory. Wrong-way head-ons can't be removed with crash-level fields. CMF 7040 (0.03) is cross-median only.</t>
  </si>
  <si>
    <t xml:space="preserve">CM: Roadside Design Improvements at Curves</t>
  </si>
  <si>
    <t xml:space="preserve">Run-off-road, fixed object, rollover</t>
  </si>
  <si>
    <t xml:space="preserve">Roadway Departure = Yes
AND Junction Type = NON-JUNCTION
AND (   Road Character = Curve-Level
     OR Road Character = Curve-On Grade
     OR Road Character = Curve-Hillcrest )
AND (   First Harmful Event Location = Roadside
     OR First Harmful Event Location = Shoulder )
AND Probable Cause ≠ Obstruction in Roadway
AND Probable Cause ≠ Debris</t>
  </si>
  <si>
    <t xml:space="preserve">Object list replaced by First Harmful Event Location. The old codes were wrong in the SMS: Tree is 60, Utility Pole is 61, and 59 is Other (Wall, Bldg, Tunnel). Median crashes go to Median Barriers so nothing is counted twice.</t>
  </si>
  <si>
    <t xml:space="preserve">CMF 7179 is for median slopes on freeways, not curves.</t>
  </si>
  <si>
    <t xml:space="preserve">CM: Roadside Barriers (Guardrail)</t>
  </si>
  <si>
    <t xml:space="preserve">Run-off-road, fixed object</t>
  </si>
  <si>
    <t xml:space="preserve">Roadway Departure = Yes
AND Junction Type = NON-JUNCTION
AND (   First Harmful Event Location = Roadside
     OR First Harmful Event Location = Shoulder )
AND Crash Harmful Event ≠ Guardrail Face
AND Crash Harmful Event ≠ Guardrail End
AND Crash Harmful Event ≠ Median Barrier
AND Probable Cause ≠ Obstruction in Roadway
AND Probable Cause ≠ Debris</t>
  </si>
  <si>
    <t xml:space="preserve">Existing-barrier hits excluded by name. Old codes 41/42/44 were wrong in the SMS (41 = Bridge Parapet End, 42 = Bridge Pier, 44 = Culvert). 'Number of Vehicles = 1' dropped - Roadway Departure is already single-vehicle.</t>
  </si>
  <si>
    <t xml:space="preserve">Both CMFs are night-only, KA / KAB.</t>
  </si>
  <si>
    <t xml:space="preserve">CM: SafetyEdge℠</t>
  </si>
  <si>
    <t xml:space="preserve">Same group as Shoulder Rumble Strips on purpose (see row 14).</t>
  </si>
  <si>
    <t xml:space="preserve">CM: Wider Edge Lines</t>
  </si>
  <si>
    <t xml:space="preserve">Four of the five CMFs are for all crashes, so the benefit comes out low. CMF 4739 is daytime only.</t>
  </si>
  <si>
    <t xml:space="preserve">Intersections</t>
  </si>
  <si>
    <t xml:space="preserve">CM: Backplates with Retroreflective Borders</t>
  </si>
  <si>
    <t xml:space="preserve">Angle, Rear-end</t>
  </si>
  <si>
    <t xml:space="preserve">Intersection Related = Yes
AND Traffic Control = Traffic Signal
AND (   Manner of Collision = Angle
     OR Manner of Collision = Rear End )</t>
  </si>
  <si>
    <t xml:space="preserve">CM: Corridor Access Management</t>
  </si>
  <si>
    <t xml:space="preserve">Intersection or driveway</t>
  </si>
  <si>
    <t xml:space="preserve">Angle, Rear-end, Head-on</t>
  </si>
  <si>
    <t xml:space="preserve">(   Intersection Related = Yes
 OR Junction Type = Driveway )
AND (   Manner of Collision = Angle
     OR Manner of Collision = Rear End
     OR Manner of Collision = Head On )</t>
  </si>
  <si>
    <t xml:space="preserve">Intersection Related does not include driveways, so Driveway is added by hand. Pedestrian/bike exclusion dropped: those crashes are Non Collision in Manner of Collision, so the MOC line already removes them.</t>
  </si>
  <si>
    <t xml:space="preserve">CMF 10375 is for non-intersection crashes.</t>
  </si>
  <si>
    <t xml:space="preserve">CM: Dedicated Right- Lanes at Intersections</t>
  </si>
  <si>
    <t xml:space="preserve">Rear-end, Angle</t>
  </si>
  <si>
    <t xml:space="preserve">Intersection Related = Yes
AND (   Manner of Collision = Rear End
     OR Manner of Collision = Angle )</t>
  </si>
  <si>
    <t xml:space="preserve">'Number of Vehicles &gt;= 2' dropped - Rear End and Angle already mean two vehicles.</t>
  </si>
  <si>
    <t xml:space="preserve">Two CMFs (8431, 8499) are right-turn crashes only.</t>
  </si>
  <si>
    <t xml:space="preserve">CM: Dedicated Left- Lanes at Intersections</t>
  </si>
  <si>
    <t xml:space="preserve">Intersection Related = Yes
AND (   Manner of Collision = Angle
     OR Manner of Collision = Rear End
     OR Manner of Collision = Head On )</t>
  </si>
  <si>
    <t xml:space="preserve">CM: Reduced Left-Turn Conflict Intersections</t>
  </si>
  <si>
    <t xml:space="preserve">Angle, Head-on</t>
  </si>
  <si>
    <t xml:space="preserve">Intersection Related = Yes
AND (   Manner of Collision = Angle
     OR Manner of Collision = Head On )</t>
  </si>
  <si>
    <t xml:space="preserve">CM: Protected/Permissive Left-Turn Phasing</t>
  </si>
  <si>
    <t xml:space="preserve">Angle, Head-on, left turn</t>
  </si>
  <si>
    <t xml:space="preserve">Intersection Related = Yes
AND Traffic Control = Traffic Signal
AND (   Manner of Collision = Angle
     OR Manner of Collision = Head On )
AND Vehicle Maneuver = Turning Left</t>
  </si>
  <si>
    <t xml:space="preserve">Turning Left is a unit field; '=' works fine (any unit turning left).</t>
  </si>
  <si>
    <t xml:space="preserve">Confirm the name of the unit movement field and the 'Turning Left' label.</t>
  </si>
  <si>
    <t xml:space="preserve">CM: Roundabouts</t>
  </si>
  <si>
    <t xml:space="preserve">Intersection Related = Yes
AND Junction Type ≠ Traffic Circle
AND (   Manner of Collision = Angle
     OR Manner of Collision = Head On )</t>
  </si>
  <si>
    <t xml:space="preserve">Existing traffic circles removed. Most roundabout CMFs are for all crashes, so the benefit comes out low.</t>
  </si>
  <si>
    <t xml:space="preserve">CM: Convert Minor-Road Stop to All-Way Stop Control</t>
  </si>
  <si>
    <t xml:space="preserve">Angle</t>
  </si>
  <si>
    <t xml:space="preserve">Stop</t>
  </si>
  <si>
    <t xml:space="preserve">Intersection Related = Yes
AND Traffic Control = Stop Sign
AND Manner of Collision = Angle</t>
  </si>
  <si>
    <t xml:space="preserve">Confirm the dropdown label for stop signs.</t>
  </si>
  <si>
    <t xml:space="preserve">CM: Intersection Conflict Warning Systems (ICWS)</t>
  </si>
  <si>
    <t xml:space="preserve">Intersection Related = Yes
AND Traffic Control = Stop Sign
AND Manner of Collision = Angle
AND Area Type = Rural</t>
  </si>
  <si>
    <t xml:space="preserve">CM: Systemic Application of Multiple Low-Cost Countermeasures at Stop-Controlled Intersections</t>
  </si>
  <si>
    <t xml:space="preserve">T, Y or four-way</t>
  </si>
  <si>
    <t xml:space="preserve">Traffic Control = Stop Sign
AND (   Junction Type = T-Intersection
     OR Junction Type = Y-Intersection
     OR Junction Type = Four-Way Intersection )</t>
  </si>
  <si>
    <t xml:space="preserve">Signalized intersections are out because of the Stop Sign line.</t>
  </si>
  <si>
    <t xml:space="preserve">CMF 8970 is from signalized intersections - doesn't belong in this group.</t>
  </si>
  <si>
    <t xml:space="preserve">CM: Yellow Change Intervals</t>
  </si>
  <si>
    <t xml:space="preserve">Rear-end, Angle (red-light running)</t>
  </si>
  <si>
    <t xml:space="preserve">Intersection Related = Yes
AND Traffic Control = Traffic Signal
AND (   Manner of Collision = Rear End
     OR Manner of Collision = Angle )
AND Probable Cause = Disregarded Sign/Signal</t>
  </si>
  <si>
    <t xml:space="preserve">The SC code list has no 'Ran Red Light'; Disregarded Sign/Signal is the closest.</t>
  </si>
  <si>
    <t xml:space="preserve">Both CMFs are for all crashes, so this filter makes the benefit very low. Team decision.</t>
  </si>
  <si>
    <t xml:space="preserve">Crosscutting</t>
  </si>
  <si>
    <t xml:space="preserve">CM: Lighting</t>
  </si>
  <si>
    <t xml:space="preserve">Night, all except rear-end</t>
  </si>
  <si>
    <t xml:space="preserve">(   Light Condition = Dark (No Lights)
 OR Light Condition = Dark (Street Lamps Not Lit)
 OR Light Condition = Dark (Lighting Unspecified)
 OR Light Condition = Dark (Street Lamp Lit) )
AND Manner of Collision ≠ Rear End</t>
  </si>
  <si>
    <t xml:space="preserve">SMS light codes are 4-7, not the new-form 04-06 (in the SMS 5 = Street Lamp Lit and 6 = Lamps Not Lit). Take out 'Street Lamp Lit' to look only at roads with no lighting.</t>
  </si>
  <si>
    <t xml:space="preserve">CMF 7784 is rear-end only, but rear-ends are excluded. Drop one or the other.</t>
  </si>
  <si>
    <t xml:space="preserve">CM: Pavement Friction Management</t>
  </si>
  <si>
    <t xml:space="preserve">Wet road: run-off-road or curve</t>
  </si>
  <si>
    <t xml:space="preserve">Wet pavement</t>
  </si>
  <si>
    <t xml:space="preserve">Road Surface Condition = Wet
AND (   Roadway Departure = Yes
     OR Road Character = Curve-Level
     OR Road Character = Curve-On Grade
     OR Road Character = Curve-Hillcrest )
AND Probable Cause ≠ Obstruction in Roadway
AND Probable Cause ≠ Debris</t>
  </si>
  <si>
    <t xml:space="preserve">Ice and slush dropped: none of the 8 CMFs measured ice. Fixed a parenthesis that never closed in the old version.</t>
  </si>
  <si>
    <t xml:space="preserve">TREATMENTS</t>
  </si>
  <si>
    <t xml:space="preserve">Default CMF (K)</t>
  </si>
  <si>
    <t xml:space="preserve">Default CMF (A)</t>
  </si>
  <si>
    <t xml:space="preserve">Default CMF (B)</t>
  </si>
  <si>
    <t xml:space="preserve">Default CMF (C)</t>
  </si>
  <si>
    <t xml:space="preserve">Default CMF (O)</t>
  </si>
  <si>
    <t xml:space="preserve">Default Service Years</t>
  </si>
  <si>
    <t xml:space="preserve">Date Added</t>
  </si>
  <si>
    <t xml:space="preserve">Added By</t>
  </si>
  <si>
    <t xml:space="preserve">Checked By</t>
  </si>
  <si>
    <t xml:space="preserve">CMF ID</t>
  </si>
  <si>
    <t xml:space="preserve">CMF (study)</t>
  </si>
  <si>
    <t xml:space="preserve">CRF %</t>
  </si>
  <si>
    <t xml:space="preserve">KABCO Severity</t>
  </si>
  <si>
    <t xml:space="preserve">Crash Type (CMF)</t>
  </si>
  <si>
    <t xml:space="preserve">Roadway Type</t>
  </si>
  <si>
    <t xml:space="preserve">AADT Min</t>
  </si>
  <si>
    <t xml:space="preserve">AADT Max</t>
  </si>
  <si>
    <t xml:space="preserve">AADT Avg</t>
  </si>
  <si>
    <t xml:space="preserve">Intersection / Control</t>
  </si>
  <si>
    <t xml:space="preserve">Speed Limit</t>
  </si>
  <si>
    <t xml:space="preserve">In HSM</t>
  </si>
  <si>
    <t xml:space="preserve">Sample (sites / crashes)</t>
  </si>
  <si>
    <t xml:space="preserve">Study Method</t>
  </si>
  <si>
    <t xml:space="preserve">Background / Notes</t>
  </si>
  <si>
    <t xml:space="preserve">Use?</t>
  </si>
  <si>
    <t xml:space="preserve">Severity scope</t>
  </si>
  <si>
    <t xml:space="preserve">Crash-type scope</t>
  </si>
  <si>
    <t xml:space="preserve">Notes for SC use</t>
  </si>
  <si>
    <t xml:space="preserve">Fit with CM criteria</t>
  </si>
  <si>
    <t xml:space="preserve">Why</t>
  </si>
  <si>
    <t xml:space="preserve">Install Automated Section Speed Enforcement System</t>
  </si>
  <si>
    <t xml:space="preserve">CMF: 7718</t>
  </si>
  <si>
    <t xml:space="preserve">Original </t>
  </si>
  <si>
    <t xml:space="preserve">K (fatal),A (serious injury),B (minor injury),C (possible injury)</t>
  </si>
  <si>
    <t xml:space="preserve">Principal Arterial Other Freeways and Expressways</t>
  </si>
  <si>
    <t xml:space="preserve">NR</t>
  </si>
  <si>
    <t xml:space="preserve">Not reported</t>
  </si>
  <si>
    <t xml:space="preserve">80-80</t>
  </si>
  <si>
    <t xml:space="preserve">no</t>
  </si>
  <si>
    <t xml:space="preserve">50+ sites / 700+ crashes</t>
  </si>
  <si>
    <t xml:space="preserve">Before/after using empirical Bayes or full Bayes</t>
  </si>
  <si>
    <t xml:space="preserve">The authors note that crash reduction effects decreased over time and speed, speed variability, and non-compliance to speed limits significantly increased over time.</t>
  </si>
  <si>
    <t xml:space="preserve">Yes</t>
  </si>
  <si>
    <t xml:space="preserve">Fatal &amp; injury only</t>
  </si>
  <si>
    <t xml:space="preserve">All crash types</t>
  </si>
  <si>
    <t xml:space="preserve">Study roads: Principal Arterial Other Freeways and Expressways. Not for collectors or locals (team). No AADT range in the study.</t>
  </si>
  <si>
    <t xml:space="preserve">Implement Automated Speed Enforcement Cameras</t>
  </si>
  <si>
    <t xml:space="preserve">CMF: 2915</t>
  </si>
  <si>
    <t xml:space="preserve">Principal Arterial Other</t>
  </si>
  <si>
    <t xml:space="preserve">25-49 sites / unknown crashes</t>
  </si>
  <si>
    <t xml:space="preserve">CMF is for "target" crashes. Target crashes are defined as those that occur during non-peak periods. Peak periods (6AM - 9 AM and 4PM - 7PM); Non-peak periods (remaining 18 hrs for weekdays, 24 hrs for weekends and holidays).</t>
  </si>
  <si>
    <t xml:space="preserve">All crashes</t>
  </si>
  <si>
    <t xml:space="preserve">No AADT range in the study.</t>
  </si>
  <si>
    <t xml:space="preserve">Install Variable Speed Limit (Vsl)</t>
  </si>
  <si>
    <t xml:space="preserve">CMF: 11002</t>
  </si>
  <si>
    <t xml:space="preserve">Not specified</t>
  </si>
  <si>
    <t xml:space="preserve">Principal Arterial Interstate</t>
  </si>
  <si>
    <t xml:space="preserve">35-75</t>
  </si>
  <si>
    <t xml:space="preserve">50-99 sites / 700+ crashes</t>
  </si>
  <si>
    <t xml:space="preserve">Regression cross-section</t>
  </si>
  <si>
    <t xml:space="preserve">Study roads: Principal Arterial Interstate. Not for collectors or locals (team). Study AADT is below the SC average for this class (~17,000). AADT tested: 10,194-11,090.</t>
  </si>
  <si>
    <t xml:space="preserve">Install Variable Speed Limit</t>
  </si>
  <si>
    <t xml:space="preserve">CMF: 11832</t>
  </si>
  <si>
    <t xml:space="preserve">Added  </t>
  </si>
  <si>
    <t xml:space="preserve">K (fatal), A (serious injury), B (minor injury), C (possible injury)</t>
  </si>
  <si>
    <t xml:space="preserve">50+ sites / unknown crashes</t>
  </si>
  <si>
    <t xml:space="preserve">This CMF is for I-5.</t>
  </si>
  <si>
    <t xml:space="preserve">Study roads: Principal Arterial Interstate. Not for collectors or locals (team). AADT tested: 53,729-282,619.</t>
  </si>
  <si>
    <t xml:space="preserve">Install Dynamic Speed Feedback Sign</t>
  </si>
  <si>
    <t xml:space="preserve">CMF: 6886</t>
  </si>
  <si>
    <t xml:space="preserve">50-65</t>
  </si>
  <si>
    <t xml:space="preserve">&lt;25 or unknown sites / &lt;250 crashes</t>
  </si>
  <si>
    <t xml:space="preserve">This CMF applies to two-lane rural horizontal curves for crashes involving vehicles traveling in the direction of the DSFS system.</t>
  </si>
  <si>
    <t xml:space="preserve">AADT tested: 400-8,400.</t>
  </si>
  <si>
    <t xml:space="preserve">CMF: 7714</t>
  </si>
  <si>
    <t xml:space="preserve">Single vehicle</t>
  </si>
  <si>
    <t xml:space="preserve">Only: Single vehicle</t>
  </si>
  <si>
    <t xml:space="preserve">Single-vehicle crashes only</t>
  </si>
  <si>
    <t xml:space="preserve">Implement Mobile Automated Speed Enforcement System</t>
  </si>
  <si>
    <t xml:space="preserve">CMF: 7582</t>
  </si>
  <si>
    <t xml:space="preserve">The number of crashes in the after period were not reported in this study</t>
  </si>
  <si>
    <t xml:space="preserve">AADT tested: 2,079-22,960.</t>
  </si>
  <si>
    <t xml:space="preserve">CMF: 2923</t>
  </si>
  <si>
    <t xml:space="preserve">O (property damage only)</t>
  </si>
  <si>
    <t xml:space="preserve">PDO only</t>
  </si>
  <si>
    <t xml:space="preserve">Single-vehicle, PDO, off-peak only</t>
  </si>
  <si>
    <t xml:space="preserve">Install Automated Section Speed Enforcement System On Curves</t>
  </si>
  <si>
    <t xml:space="preserve">CMF: 4146</t>
  </si>
  <si>
    <t xml:space="preserve">130-130</t>
  </si>
  <si>
    <t xml:space="preserve">50+ sites / &lt;250 crashes</t>
  </si>
  <si>
    <t xml:space="preserve">Study roads: Principal Arterial Other Freeways and Expressways. Not for collectors or locals (team). AADT tested: 23,000-42,000.</t>
  </si>
  <si>
    <t xml:space="preserve">Convert Traditional Or Flush Buffered Bike Lane To Sbl With Flexi-Posts</t>
  </si>
  <si>
    <t xml:space="preserve">CMF: 11296</t>
  </si>
  <si>
    <t xml:space="preserve">Vehicle/bicycle</t>
  </si>
  <si>
    <t xml:space="preserve">100+ sites / unknown crashes</t>
  </si>
  <si>
    <t xml:space="preserve">The after condition is SBL with Flexible Delineator Posts.</t>
  </si>
  <si>
    <t xml:space="preserve">Only: Vehicle/bicycle</t>
  </si>
  <si>
    <t xml:space="preserve">Install Bicycle Lanes</t>
  </si>
  <si>
    <t xml:space="preserve">CMF: 10738</t>
  </si>
  <si>
    <t xml:space="preserve">100+ sites / 700+ crashes</t>
  </si>
  <si>
    <t xml:space="preserve">This CMF is for bicycle lane addition resulting in reduced shoulder or lane width and 20 percent increase in average daily bicycle traffic (ADBT). The base condition was 11-ft lanes, no shoulder, no median, and four-lane urban collector or local road.</t>
  </si>
  <si>
    <t xml:space="preserve">AADT tested: 10-92,462.</t>
  </si>
  <si>
    <t xml:space="preserve">Install Bicycle Boulevard</t>
  </si>
  <si>
    <t xml:space="preserve">CMF: 3092</t>
  </si>
  <si>
    <t xml:space="preserve">Urban and suburban</t>
  </si>
  <si>
    <t xml:space="preserve">Not Specified</t>
  </si>
  <si>
    <t xml:space="preserve">Non-regression cross-section</t>
  </si>
  <si>
    <t xml:space="preserve">Convert Flush Buffered Bike Lane To SBL With Flexi-Posts</t>
  </si>
  <si>
    <t xml:space="preserve">CMF: 11295</t>
  </si>
  <si>
    <t xml:space="preserve">Install Separated Bicycle Lane</t>
  </si>
  <si>
    <t xml:space="preserve">CMF: 11553</t>
  </si>
  <si>
    <t xml:space="preserve">Roadway/roadway (not interchange related)</t>
  </si>
  <si>
    <t xml:space="preserve">This CMF is for non-weather related crashes. CMF is presented in Table 20 in the report</t>
  </si>
  <si>
    <t xml:space="preserve">AADT tested: 2,678-46,640.</t>
  </si>
  <si>
    <t xml:space="preserve">Convert Traditional Bike Lane To SBL With Flexi-Posts</t>
  </si>
  <si>
    <t xml:space="preserve">CMF: 11294</t>
  </si>
  <si>
    <t xml:space="preserve">Convert Flush Buffered Bike Lane To SBL With A Blend Of Flexi-Post And Other Vertical Elements</t>
  </si>
  <si>
    <t xml:space="preserve">CMF: 11302</t>
  </si>
  <si>
    <t xml:space="preserve">The after condition is SBL with blend of flexible delineator posts and other vertical elements.</t>
  </si>
  <si>
    <t xml:space="preserve">CMF: 11555</t>
  </si>
  <si>
    <t xml:space="preserve">This CMF is for intersections with bike lanes mixed with through and right turn lanes. CMF is presented in Table 18 in the report.</t>
  </si>
  <si>
    <t xml:space="preserve">Install High-Visibility Crosswalk</t>
  </si>
  <si>
    <t xml:space="preserve">CMF: 4123</t>
  </si>
  <si>
    <t xml:space="preserve">Vehicle/pedestrian</t>
  </si>
  <si>
    <t xml:space="preserve">50+ sites / 500-699 crashes</t>
  </si>
  <si>
    <t xml:space="preserve">Simple before/after</t>
  </si>
  <si>
    <t xml:space="preserve">The treatment group included both signalized and unsignalized intersections. The corresponding change in crashes in the comparison group was an 18 percent reduction in pedestrian-vehicle crashes.</t>
  </si>
  <si>
    <t xml:space="preserve">Only: Vehicle/pedestrian</t>
  </si>
  <si>
    <t xml:space="preserve">Provide Intersection Illumination</t>
  </si>
  <si>
    <t xml:space="preserve">CMF: 436</t>
  </si>
  <si>
    <t xml:space="preserve">A (serious injury),B (minor injury),C (possible injury)</t>
  </si>
  <si>
    <t xml:space="preserve">Nighttime,Vehicle/pedestrian</t>
  </si>
  <si>
    <t xml:space="preserve">italics</t>
  </si>
  <si>
    <t xml:space="preserve">Meta-analysis</t>
  </si>
  <si>
    <t xml:space="preserve">Countermeasure name changed to match HSM</t>
  </si>
  <si>
    <t xml:space="preserve">Only: Nighttime,Vehicle/pedestrian</t>
  </si>
  <si>
    <t xml:space="preserve">Night pedestrian crashes only</t>
  </si>
  <si>
    <t xml:space="preserve">Install High-Visibility Yellow, Continental Type Crosswalks At Schools</t>
  </si>
  <si>
    <t xml:space="preserve">CMF: 2697</t>
  </si>
  <si>
    <t xml:space="preserve">50+ sites / 250-499 crashes</t>
  </si>
  <si>
    <t xml:space="preserve">AADT tested: 567-43,199.</t>
  </si>
  <si>
    <t xml:space="preserve">Modify Signal Phasing (Implement A Leading Pedestrian Interval)</t>
  </si>
  <si>
    <t xml:space="preserve">CMF: 9918</t>
  </si>
  <si>
    <t xml:space="preserve">Crash Type = Vehicle - Pedestrian Crashes. This CMF is for sites where LPIs were implemented either at all crossings (across major and minor roads) or only for crossings across the minor road (parallel to the major road).</t>
  </si>
  <si>
    <t xml:space="preserve">CMF: 9903</t>
  </si>
  <si>
    <t xml:space="preserve">AADT tested: 6,650-32,363.</t>
  </si>
  <si>
    <t xml:space="preserve">Install Raised Median With Marked Crosswalk (Uncontrolled)</t>
  </si>
  <si>
    <t xml:space="preserve">CMF: 175</t>
  </si>
  <si>
    <t xml:space="preserve">Urban and Suburban</t>
  </si>
  <si>
    <t xml:space="preserve">100+ sites / &lt;250 crashes</t>
  </si>
  <si>
    <t xml:space="preserve">The study design was a simple comparison of crash rates, controlling for pedestrian and traffic volume.</t>
  </si>
  <si>
    <t xml:space="preserve">Install Raised Median With Or Without Marked Crosswalk (Uncontrolled)</t>
  </si>
  <si>
    <t xml:space="preserve">CMF: 8799</t>
  </si>
  <si>
    <t xml:space="preserve">Minor Arterial</t>
  </si>
  <si>
    <t xml:space="preserve">Combination of EB before-after and cross-sectional estimations.</t>
  </si>
  <si>
    <t xml:space="preserve">AADT tested: 1,245-46,000.</t>
  </si>
  <si>
    <t xml:space="preserve">Install Raised Median</t>
  </si>
  <si>
    <t xml:space="preserve">CMF: 2219</t>
  </si>
  <si>
    <t xml:space="preserve">AADT tested: 1,390-51,200.</t>
  </si>
  <si>
    <t xml:space="preserve">Install A Pedestrian Hybrid Beacon (Phb Or Hawk)</t>
  </si>
  <si>
    <t xml:space="preserve">CMF: 9020</t>
  </si>
  <si>
    <t xml:space="preserve">100+ sites / 250-499 crashes</t>
  </si>
  <si>
    <t xml:space="preserve">Methodology used was a combination of EB before-after and cross-sectional estimations. </t>
  </si>
  <si>
    <t xml:space="preserve">AADT tested: 6,634-48,791.</t>
  </si>
  <si>
    <t xml:space="preserve">Install Pedestrian Hybrid Beacon (PHB Or HAWK) With Advanced Yield Or Stop Markings And Signs</t>
  </si>
  <si>
    <t xml:space="preserve">CMF: 9021</t>
  </si>
  <si>
    <t xml:space="preserve">Methodology used was a combination of EB before-after and cross-sectional estimations. Also, study sites were a combination of intersection and mid-block locations.</t>
  </si>
  <si>
    <t xml:space="preserve">Install A Pedestrian Hybrid Beacon (PHB Or HAWK)</t>
  </si>
  <si>
    <t xml:space="preserve">CMF: 10607</t>
  </si>
  <si>
    <t xml:space="preserve">The reference group consisted of 101 unsignalized and 56 signalized intersections.</t>
  </si>
  <si>
    <t xml:space="preserve">AADT tested: 5,400-47,627.</t>
  </si>
  <si>
    <t xml:space="preserve">Install Rectangular Rapid Flashing Beacon (Rrfb)</t>
  </si>
  <si>
    <t xml:space="preserve">CMF: 9024</t>
  </si>
  <si>
    <t xml:space="preserve">AADT tested: 533-49,402.</t>
  </si>
  <si>
    <t xml:space="preserve">Install Rectangular Rapid Flashing Beacon (RRFB)</t>
  </si>
  <si>
    <t xml:space="preserve">CMF: 11169</t>
  </si>
  <si>
    <t xml:space="preserve">Roadway/pedestrian crossing (eg, midblock crossing)</t>
  </si>
  <si>
    <t xml:space="preserve">It is the CMF for injury crashes in pedestrian crashes.</t>
  </si>
  <si>
    <t xml:space="preserve">Converting Four-Lane Roadways To Three-Lane Roadways With Center Turn Lane (Road Diet)</t>
  </si>
  <si>
    <t xml:space="preserve">CMF: 5554</t>
  </si>
  <si>
    <t xml:space="preserve">CMF calculation is for reduction in crash rate.
The sites used for the development of this CMF were largely located in smaller urban areas. The number of crashes in the after period were not reported in this study.</t>
  </si>
  <si>
    <t xml:space="preserve">AADT tested: 2,030-15,350.</t>
  </si>
  <si>
    <t xml:space="preserve">Road Diet (Convert 4-Lane Undivided Road To 2-Lanes Plus Turning Lane)</t>
  </si>
  <si>
    <t xml:space="preserve">CMF: 10376</t>
  </si>
  <si>
    <t xml:space="preserve">Non-intersection</t>
  </si>
  <si>
    <t xml:space="preserve">Safety performance function for 4-lane highway used for the analysis has been previously developed for the state of Louisiana.</t>
  </si>
  <si>
    <t xml:space="preserve">Only: Non-intersection</t>
  </si>
  <si>
    <t xml:space="preserve">AADT tested: 8,333-13,900.</t>
  </si>
  <si>
    <t xml:space="preserve">CMF: 5553</t>
  </si>
  <si>
    <t xml:space="preserve">CMF calculation is for reduction in crash frequency per mile.
The sites used for the development of this CMF were largely located in smaller urban areas. The number of crashes in the after period were not reported in this study.</t>
  </si>
  <si>
    <t xml:space="preserve">Install Sidewalk</t>
  </si>
  <si>
    <t xml:space="preserve">CMF: 11246</t>
  </si>
  <si>
    <t xml:space="preserve">Install Chevron Signs On Horizontal Curves</t>
  </si>
  <si>
    <t xml:space="preserve">CMF: 2439</t>
  </si>
  <si>
    <t xml:space="preserve">Nighttime,Non-intersection</t>
  </si>
  <si>
    <t xml:space="preserve">Only: Nighttime,Non-intersection</t>
  </si>
  <si>
    <t xml:space="preserve">AADT tested: 261-14,790.</t>
  </si>
  <si>
    <t xml:space="preserve">Night crashes only</t>
  </si>
  <si>
    <t xml:space="preserve">Install Oversized Chevron Signs</t>
  </si>
  <si>
    <t xml:space="preserve">CMF: 8978</t>
  </si>
  <si>
    <t xml:space="preserve">Small sample size</t>
  </si>
  <si>
    <t xml:space="preserve">No - dropped 8/2026</t>
  </si>
  <si>
    <t xml:space="preserve">AADT tested: 173-27,235.</t>
  </si>
  <si>
    <t xml:space="preserve">Not used</t>
  </si>
  <si>
    <t xml:space="preserve">Excluded by the team</t>
  </si>
  <si>
    <t xml:space="preserve">Install In-Lane Curve Warning Pavement Markings</t>
  </si>
  <si>
    <t xml:space="preserve">CMF: 10312</t>
  </si>
  <si>
    <t xml:space="preserve">This CMF is for crashes on Horizontal Curves.</t>
  </si>
  <si>
    <t xml:space="preserve">AADT tested: 100-15,998.</t>
  </si>
  <si>
    <t xml:space="preserve">CMF: 8982</t>
  </si>
  <si>
    <t xml:space="preserve">Nighttime</t>
  </si>
  <si>
    <t xml:space="preserve">Presence of advisory speed signs The number of crashes in the after period were not reported in this study</t>
  </si>
  <si>
    <t xml:space="preserve">Only: Nighttime</t>
  </si>
  <si>
    <t xml:space="preserve">CMF: 9167</t>
  </si>
  <si>
    <t xml:space="preserve">&lt;25 or unknown sites / 250-499 crashes</t>
  </si>
  <si>
    <t xml:space="preserve">Sample size is small.  Excludes intersection-related and animal-related crashes.</t>
  </si>
  <si>
    <t xml:space="preserve">AADT tested: 590-7,600.</t>
  </si>
  <si>
    <t xml:space="preserve">Install New Fluorescent Curve Signs Or Upgrade Existing Curve Signs To Fluorescent Sheeting</t>
  </si>
  <si>
    <t xml:space="preserve">CMF: 2434</t>
  </si>
  <si>
    <t xml:space="preserve">AADT tested: 895-20,479.</t>
  </si>
  <si>
    <t xml:space="preserve">CMF: 2440</t>
  </si>
  <si>
    <t xml:space="preserve">Head on,Nighttime,Non-intersection,Run off road,Sideswipe</t>
  </si>
  <si>
    <t xml:space="preserve">Only: Head on,Nighttime,Non-intersection,Run off road,Sideswipe</t>
  </si>
  <si>
    <t xml:space="preserve">Install A Combination Of Chevron Signs, Curve Warning Signs, And/Or Sequential Flashing Beacons</t>
  </si>
  <si>
    <t xml:space="preserve">CMF: 1861</t>
  </si>
  <si>
    <t xml:space="preserve">Study roads: Principal Arterial Other Freeways and Expressways. Not for collectors or locals (team). Study AADT is below the SC average for this class (~17,000). AADT tested: 7,400-13,975.</t>
  </si>
  <si>
    <t xml:space="preserve">Install Chevron Signs, Curve Warning Signs, And Sequential Flashing Beacons</t>
  </si>
  <si>
    <t xml:space="preserve">CMF: 1915</t>
  </si>
  <si>
    <t xml:space="preserve">Install Centerline Rumble Strips</t>
  </si>
  <si>
    <t xml:space="preserve">CMF: 3358</t>
  </si>
  <si>
    <t xml:space="preserve">Head on,Sideswipe</t>
  </si>
  <si>
    <t xml:space="preserve">The authors collected data on thru lanes and speed limits but did not provide those data in the report.</t>
  </si>
  <si>
    <t xml:space="preserve">Only: Head on,Sideswipe</t>
  </si>
  <si>
    <t xml:space="preserve">AADT tested: 574-17,591.</t>
  </si>
  <si>
    <t xml:space="preserve">Install Shoulder Rumble Strips With An Offset Of 9-20 Inches Relative To The Edgeline</t>
  </si>
  <si>
    <t xml:space="preserve">CMF: 3648</t>
  </si>
  <si>
    <t xml:space="preserve">Run off road</t>
  </si>
  <si>
    <t xml:space="preserve">&lt;50 or unknown sites / unknown crashes</t>
  </si>
  <si>
    <t xml:space="preserve">The authors collected data on thru lanes and speed limits but did not provide those data in the report</t>
  </si>
  <si>
    <t xml:space="preserve">No </t>
  </si>
  <si>
    <t xml:space="preserve">Only: Run off road</t>
  </si>
  <si>
    <t xml:space="preserve">Study roads: Principal Arterial Other Freeways and Expressways. Not for collectors or locals (team). AADT tested: 11,539-37,112.</t>
  </si>
  <si>
    <t xml:space="preserve">Install Shoulder Rumble Strips</t>
  </si>
  <si>
    <t xml:space="preserve">CMF: 3425</t>
  </si>
  <si>
    <t xml:space="preserve">No</t>
  </si>
  <si>
    <t xml:space="preserve">Study roads: Principal Arterial Other Freeways and Expressways. Not for collectors or locals (team). AADT tested: 6,777-24,752.</t>
  </si>
  <si>
    <t xml:space="preserve">Install Sinusoidal Rumble Strip</t>
  </si>
  <si>
    <t xml:space="preserve">CMF: 11837</t>
  </si>
  <si>
    <t xml:space="preserve">Other</t>
  </si>
  <si>
    <t xml:space="preserve">This CMF is for lane departure crashes on combined roadways including two-lane rural roads and multilane highways.</t>
  </si>
  <si>
    <t xml:space="preserve">Only: Other</t>
  </si>
  <si>
    <t xml:space="preserve">CMF covers all lane departure</t>
  </si>
  <si>
    <t xml:space="preserve">CMF: 3352</t>
  </si>
  <si>
    <t xml:space="preserve">AADT tested: 1,336-13,240.</t>
  </si>
  <si>
    <t xml:space="preserve">Install Centerline Rumble Strips On Tangent Sections</t>
  </si>
  <si>
    <t xml:space="preserve">CMF: 3384</t>
  </si>
  <si>
    <t xml:space="preserve">Install Centerline Rumble Strips On Horizontal Curves</t>
  </si>
  <si>
    <t xml:space="preserve">CMF: 3375</t>
  </si>
  <si>
    <t xml:space="preserve">AADT tested: 574-20,784.</t>
  </si>
  <si>
    <t xml:space="preserve">Install Centerline And Shoulder Rumble Strips</t>
  </si>
  <si>
    <t xml:space="preserve">CMF: 6946</t>
  </si>
  <si>
    <t xml:space="preserve">CMF for fatal &amp; injury crashes excludes intersection-related and animal crashes.</t>
  </si>
  <si>
    <t xml:space="preserve">AADT tested: 154-15,848.</t>
  </si>
  <si>
    <t xml:space="preserve">CMF: 3566</t>
  </si>
  <si>
    <t xml:space="preserve">Run off road,Truck related</t>
  </si>
  <si>
    <t xml:space="preserve">25-49 sites / 700+ crashes</t>
  </si>
  <si>
    <t xml:space="preserve">The authors collected data on thru lanes and speed limits but did not provide those data in the report (see p. 50).</t>
  </si>
  <si>
    <t xml:space="preserve">Only: Run off road,Truck related</t>
  </si>
  <si>
    <t xml:space="preserve">Study roads: Principal Arterial Other Freeways and Expressways. Not for collectors or locals (team). AADT tested: 6,777-37,112.</t>
  </si>
  <si>
    <t xml:space="preserve">Install Median Barrier</t>
  </si>
  <si>
    <t xml:space="preserve">CMF: 7040</t>
  </si>
  <si>
    <t xml:space="preserve">Cross median</t>
  </si>
  <si>
    <t xml:space="preserve">This CMF applies to cross-median crashes for all median barrier types installed on four-lane freeways. The number of crashes in the after period were not reported in this study</t>
  </si>
  <si>
    <t xml:space="preserve">Only: Cross median</t>
  </si>
  <si>
    <t xml:space="preserve">Cross-median crashes only; criteria also has median rollovers and fixed objects</t>
  </si>
  <si>
    <t xml:space="preserve">Install Cable Median Barrier (High Tension)</t>
  </si>
  <si>
    <t xml:space="preserve">CMF: 8214</t>
  </si>
  <si>
    <t xml:space="preserve">K (fatal),A (serious injury)</t>
  </si>
  <si>
    <t xml:space="preserve">CMF applies to target crashes on segment with median width 26 to 50 feet.</t>
  </si>
  <si>
    <t xml:space="preserve">Study roads: Principal Arterial Other Freeways and Expressways. Not for collectors or locals (team). AADT tested: 1,508-99,850.</t>
  </si>
  <si>
    <t xml:space="preserve">Study's 'target crashes' not defined in the Clearinghouse entry</t>
  </si>
  <si>
    <t xml:space="preserve">Flatten Sideslope From 1V:3H To 1V:4H</t>
  </si>
  <si>
    <t xml:space="preserve">CMF: 4627</t>
  </si>
  <si>
    <t xml:space="preserve">degree</t>
  </si>
  <si>
    <t xml:space="preserve">sites / 700+ crashes</t>
  </si>
  <si>
    <t xml:space="preserve">Expert panel</t>
  </si>
  <si>
    <t xml:space="preserve">HSM 1st Ed, Table 13-19</t>
  </si>
  <si>
    <t xml:space="preserve">Flatten Sideslope From 1V:4H To 1V:6H</t>
  </si>
  <si>
    <t xml:space="preserve">CMF: 4632</t>
  </si>
  <si>
    <t xml:space="preserve">Flatten Side Slopes</t>
  </si>
  <si>
    <t xml:space="preserve">CMF: 7179</t>
  </si>
  <si>
    <t xml:space="preserve">This CMF applies to a unit decrease in median slope ratio for rollover crashes on four-lane freeways with a flexible barrier.</t>
  </si>
  <si>
    <t xml:space="preserve">Median slope on freeways, not roadside at curves</t>
  </si>
  <si>
    <t xml:space="preserve">Install W-Beam Guardrail</t>
  </si>
  <si>
    <t xml:space="preserve">CMF: 8423</t>
  </si>
  <si>
    <t xml:space="preserve">Nighttime,Run off road</t>
  </si>
  <si>
    <t xml:space="preserve">50-70</t>
  </si>
  <si>
    <t xml:space="preserve">Only: Nighttime,Run off road</t>
  </si>
  <si>
    <t xml:space="preserve">Study roads: Principal Arterial Other Freeways and Expressways. Not for collectors or locals (team). AADT tested: 35,000-104,600.</t>
  </si>
  <si>
    <t xml:space="preserve">Night run-off-road only</t>
  </si>
  <si>
    <t xml:space="preserve">Install W-Beam Guardrail Or Concrete Barrier</t>
  </si>
  <si>
    <t xml:space="preserve">CMF: 8376</t>
  </si>
  <si>
    <t xml:space="preserve">K (fatal),A (serious injury),B (minor injury)</t>
  </si>
  <si>
    <t xml:space="preserve">Install Safety Edge Treatment</t>
  </si>
  <si>
    <t xml:space="preserve">CMF: 9205</t>
  </si>
  <si>
    <t xml:space="preserve">Excludes intersection-related crashes and animal-related crashes</t>
  </si>
  <si>
    <t xml:space="preserve">AADT tested: 10-18,600.</t>
  </si>
  <si>
    <t xml:space="preserve">CMF: 9677</t>
  </si>
  <si>
    <t xml:space="preserve">CMF for sites with travel lane width (two lanes)=23-24ft</t>
  </si>
  <si>
    <t xml:space="preserve">Install Wider Edgelines (4 In To 6 In)</t>
  </si>
  <si>
    <t xml:space="preserve">CMF: 4737</t>
  </si>
  <si>
    <t xml:space="preserve">Crash type also excludes intersection/interchange crashes and winter month crashes</t>
  </si>
  <si>
    <t xml:space="preserve">Install Wider Longitudinal Pavement Markings</t>
  </si>
  <si>
    <t xml:space="preserve">CMF: 10644</t>
  </si>
  <si>
    <t xml:space="preserve">The width of the longitudinal median markings was increased from 100 mm (4 in.) to 200 mm (8 in.) for divided highways. For the undivided highways, only edge line markings were widened from 100 mm (4 in.) to 200 mm (8 in.).</t>
  </si>
  <si>
    <t xml:space="preserve">Install Wider Markings With Resurfacing</t>
  </si>
  <si>
    <t xml:space="preserve">CMF: 4770</t>
  </si>
  <si>
    <t xml:space="preserve">&lt;25 or unknown sites / unknown crashes</t>
  </si>
  <si>
    <t xml:space="preserve">CMF: 4739</t>
  </si>
  <si>
    <t xml:space="preserve">Day time</t>
  </si>
  <si>
    <t xml:space="preserve">Only: Day time</t>
  </si>
  <si>
    <t xml:space="preserve">Daytime crashes only</t>
  </si>
  <si>
    <t xml:space="preserve">Install Wider Markings Without Resurfacing</t>
  </si>
  <si>
    <t xml:space="preserve">CMF: 4792</t>
  </si>
  <si>
    <t xml:space="preserve">Add 3-Inch Yellow Retroreflective Sheeting To Signal Backplates</t>
  </si>
  <si>
    <t xml:space="preserve">CMF: 1410</t>
  </si>
  <si>
    <t xml:space="preserve">Reduce Driveways From 10-24 To Less Than 10 Per Mile</t>
  </si>
  <si>
    <t xml:space="preserve">CMF: 179</t>
  </si>
  <si>
    <t xml:space="preserve">bold</t>
  </si>
  <si>
    <t xml:space="preserve">No - not implementable</t>
  </si>
  <si>
    <t xml:space="preserve">Reduce Driveways From 26-48 To 10-24 Per Mile</t>
  </si>
  <si>
    <t xml:space="preserve">CMF: 178</t>
  </si>
  <si>
    <t xml:space="preserve">Install TWLTL (Two-Way Left Turn Lane) On Four Lane Road</t>
  </si>
  <si>
    <t xml:space="preserve">CMF: 10375</t>
  </si>
  <si>
    <t xml:space="preserve">AADT tested: 6,800-22,141.</t>
  </si>
  <si>
    <t xml:space="preserve">Non-intersection crashes; criteria is intersection/driveway</t>
  </si>
  <si>
    <t xml:space="preserve">Introduce TWLTL (Two-Way Left Turn Lanes) On Rural Two Lane Roads</t>
  </si>
  <si>
    <t xml:space="preserve">CMF: 585</t>
  </si>
  <si>
    <t xml:space="preserve">Rear end</t>
  </si>
  <si>
    <t xml:space="preserve">Only: Rear end</t>
  </si>
  <si>
    <t xml:space="preserve">Rear-end only</t>
  </si>
  <si>
    <t xml:space="preserve">Install TWLTL (Two-Way Left Turn Lane) On Two Lane Road</t>
  </si>
  <si>
    <t xml:space="preserve">CMF: 2344</t>
  </si>
  <si>
    <t xml:space="preserve">&lt;25 or unknown sites / 700+ crashes</t>
  </si>
  <si>
    <t xml:space="preserve">Replace TWLTL With Raised Median</t>
  </si>
  <si>
    <t xml:space="preserve">CMF: 2518</t>
  </si>
  <si>
    <t xml:space="preserve">Head on</t>
  </si>
  <si>
    <t xml:space="preserve">30-45</t>
  </si>
  <si>
    <t xml:space="preserve">Only: Head on</t>
  </si>
  <si>
    <t xml:space="preserve">AADT tested: 4,883-96,080.</t>
  </si>
  <si>
    <t xml:space="preserve">Head-on only</t>
  </si>
  <si>
    <t xml:space="preserve">PROVIDE A RIGHT-TURN LANE ON ONE MAJOR-ROAD APPROACH</t>
  </si>
  <si>
    <t xml:space="preserve">CMF: 285</t>
  </si>
  <si>
    <t xml:space="preserve">Countermeasure name changed to match HSM The number of crashes in the after period were not reported in this study,</t>
  </si>
  <si>
    <t xml:space="preserve">AADT tested: 1,500-40,600.</t>
  </si>
  <si>
    <t xml:space="preserve">Improve Angle Of Channelized Right Turn Lane</t>
  </si>
  <si>
    <t xml:space="preserve">CMF: 8431</t>
  </si>
  <si>
    <t xml:space="preserve">Right turn,Other</t>
  </si>
  <si>
    <t xml:space="preserve">Crash type = "right turn related crashes at subject approach". Total intersection AADT ranged from 3300 to 41300. Group of intersections analyzed included both signalized and stop-controlled intersections.</t>
  </si>
  <si>
    <t xml:space="preserve">Only: Right turn,Other</t>
  </si>
  <si>
    <t xml:space="preserve">Right-turn crashes only</t>
  </si>
  <si>
    <t xml:space="preserve">Change Right-Turn Lane Geometry To Increase Line Of Sight (Approach Level)</t>
  </si>
  <si>
    <t xml:space="preserve">CMF: 8499</t>
  </si>
  <si>
    <t xml:space="preserve">Right turn</t>
  </si>
  <si>
    <t xml:space="preserve">25-45</t>
  </si>
  <si>
    <t xml:space="preserve">CMF applies only to treated approaches. Intersection AADT ranges from 15,558 to 29,992. CMF applies to both stop-controlled and signalized intersections. Roadway/roadway both interchange and not-interchange related.</t>
  </si>
  <si>
    <t xml:space="preserve">Only: Right turn</t>
  </si>
  <si>
    <t xml:space="preserve">Change Right-Turn Lane Geometry To Increase Line Of Sight (Intersection Level)</t>
  </si>
  <si>
    <t xml:space="preserve">CMF: 8496</t>
  </si>
  <si>
    <t xml:space="preserve">Authors indicate that this CMF should be used with caution, since improvements were made to other approaches. Intersection AADT ranges from 15,558 to 29,992. CMF applies to both stop-controlled and signalized intersections. Roadway/roadway both interchange and not-interchange related.</t>
  </si>
  <si>
    <t xml:space="preserve">Provide A Right-Turn Lane On Both Major-Road Approaches</t>
  </si>
  <si>
    <t xml:space="preserve">CMF: 289</t>
  </si>
  <si>
    <t xml:space="preserve">Countermeasure name changed to match HSM The number of crashes in the after period were not reported in this study, however, they have been recorded as 300 to give 10 points as a beneift of doubt for one or more of the following: (1) number of miles/sites in the reference/treatment group, (2) number of crashes in the references/treatment group, (3) reporting AADTs for the aggregate dataset but not for the disaggragate dataset used for CMF development.</t>
  </si>
  <si>
    <t xml:space="preserve">Provide A Right-Turn Lane On One Major-Road Approach</t>
  </si>
  <si>
    <t xml:space="preserve">CMF: 287</t>
  </si>
  <si>
    <t xml:space="preserve">Provide A Left-Turn Lane On One Major-Road Approach</t>
  </si>
  <si>
    <t xml:space="preserve">CMF: 260</t>
  </si>
  <si>
    <t xml:space="preserve">25-49 sites / &lt;250 crashes</t>
  </si>
  <si>
    <t xml:space="preserve">AADT tested: 1,600-32,400.</t>
  </si>
  <si>
    <t xml:space="preserve">Improve Left-Turn Lane Offset To Create Positive Offset</t>
  </si>
  <si>
    <t xml:space="preserve">CMF: 6096</t>
  </si>
  <si>
    <t xml:space="preserve">CMF of shifting the left-turn lane further away from the adjacent through lane and result in a less negative offset or no offset.</t>
  </si>
  <si>
    <t xml:space="preserve">AADT tested: 7,150-29,200.</t>
  </si>
  <si>
    <t xml:space="preserve">Install Dual Left Turn Lanes (DLTLs)</t>
  </si>
  <si>
    <t xml:space="preserve">CMF: 11911</t>
  </si>
  <si>
    <t xml:space="preserve">Principal Arterial Other Freeways and Expressways, Principal Arterial Other, Minor Arterial, Major Collector</t>
  </si>
  <si>
    <t xml:space="preserve">This CMF is for all 36 treatment sites.</t>
  </si>
  <si>
    <t xml:space="preserve">Study roads: Principal Arterial Other Freeways and Expressways, Principal Arterial Other, Minor Arterial, Major Collector. Not for collectors or locals (team). AADT tested: 21,000-69,000.</t>
  </si>
  <si>
    <t xml:space="preserve">Install Left-Turn Lane At Signalized Intersection</t>
  </si>
  <si>
    <t xml:space="preserve">CMF: 8002</t>
  </si>
  <si>
    <t xml:space="preserve">The CMF was developed for both rural and suburban areas. The number of crashes in the after period were not reported in this study, however, they have been recorded as 300 to give 10 points as a beneift of doubt for one or more of the following: (1) number of miles/sites in the reference/treatment group, (2) number of crashes in the references/treatment group, (3) reporting AADTs for the aggregate dataset but not for the disaggragate dataset used for CMF development.</t>
  </si>
  <si>
    <t xml:space="preserve">AADT tested: 2,981-18,248.</t>
  </si>
  <si>
    <t xml:space="preserve">Provide A Left-Turn Lane On Both Major-Road Approaches</t>
  </si>
  <si>
    <t xml:space="preserve">CMF: 272</t>
  </si>
  <si>
    <t xml:space="preserve">AADT tested: 1,500-32,400.</t>
  </si>
  <si>
    <t xml:space="preserve">CMF: 255</t>
  </si>
  <si>
    <t xml:space="preserve">Introducing Zero Or Positive Offset Left-Turn Lane On Crossing Roadway</t>
  </si>
  <si>
    <t xml:space="preserve">CMF: 276</t>
  </si>
  <si>
    <t xml:space="preserve">Only: Angle</t>
  </si>
  <si>
    <t xml:space="preserve">Angle only</t>
  </si>
  <si>
    <t xml:space="preserve">Install J-Turn Intersection</t>
  </si>
  <si>
    <t xml:space="preserve">CMF: 5556</t>
  </si>
  <si>
    <t xml:space="preserve">65-70</t>
  </si>
  <si>
    <t xml:space="preserve">Study roads: Principal Arterial Other Freeways and Expressways. Not for collectors or locals (team). AADT tested: 10,326-26,470.</t>
  </si>
  <si>
    <t xml:space="preserve">Convert A Conventional Signalized Intersection To A Signalized Superstreet</t>
  </si>
  <si>
    <t xml:space="preserve">CMF: 9985</t>
  </si>
  <si>
    <t xml:space="preserve">Suburban</t>
  </si>
  <si>
    <t xml:space="preserve">40-65</t>
  </si>
  <si>
    <t xml:space="preserve">Before/after using comparison group</t>
  </si>
  <si>
    <t xml:space="preserve">Convert Intersection To Median U-Turn (Mut) Intersection</t>
  </si>
  <si>
    <t xml:space="preserve">CMF: 10867</t>
  </si>
  <si>
    <t xml:space="preserve">This CMF is for Type B MUT Intersection. A pictorial representation of Type A and Type B MUT Intersection is presented in Figure 2 in the paper.</t>
  </si>
  <si>
    <t xml:space="preserve">AADT tested: 19,267-72,074.</t>
  </si>
  <si>
    <t xml:space="preserve">Convert A Conventional Signalized Intersection To A Continuous Flow Intersection (Cfi)</t>
  </si>
  <si>
    <t xml:space="preserve">CMF: 11587</t>
  </si>
  <si>
    <t xml:space="preserve">CMF is presented in Table 35 in the report.</t>
  </si>
  <si>
    <t xml:space="preserve">AADT tested: 21,740-64,000.</t>
  </si>
  <si>
    <t xml:space="preserve">Convert Intersection To Restricted Crossing U-Turn (RCUT) Intersection</t>
  </si>
  <si>
    <t xml:space="preserve">CMF: 10384</t>
  </si>
  <si>
    <t xml:space="preserve">CMF partial RCUT with 2 minor streets. Crashes for RCUT section (including U-turns). SPF used for this analysis came from the 2010 HSM</t>
  </si>
  <si>
    <t xml:space="preserve">AADT tested: 59,833-59,833.</t>
  </si>
  <si>
    <t xml:space="preserve">Convert Intersection To Median U-Turn (MUT) Intersection</t>
  </si>
  <si>
    <t xml:space="preserve">CMF: 10858</t>
  </si>
  <si>
    <t xml:space="preserve">This CMF is for Head-On Left Turn crashes. This CMF is for Type A MUT Intersection. A pictorial representation of Type A and Type B MUT Intersection is presented in Figure 2 in the paper.</t>
  </si>
  <si>
    <t xml:space="preserve">AADT tested: 25,512-85,076.</t>
  </si>
  <si>
    <t xml:space="preserve">Head-on left-turn only</t>
  </si>
  <si>
    <t xml:space="preserve">Change Permissive Left-Turn Phasing To Protected/Permissive</t>
  </si>
  <si>
    <t xml:space="preserve">CMF: 4270</t>
  </si>
  <si>
    <t xml:space="preserve">Left turn</t>
  </si>
  <si>
    <t xml:space="preserve">Average major and minor road volumes are computed based on weighted average in NC and Toronto. AADT applies to all sites.Assumed 2 crashes per site in both the before and after periods to estimate sample size.</t>
  </si>
  <si>
    <t xml:space="preserve">Only: Left turn</t>
  </si>
  <si>
    <t xml:space="preserve">AADT tested: 4,857-74,990.</t>
  </si>
  <si>
    <t xml:space="preserve">Change Permissive Left-Turn Phasing To Protected Only Or Protected/Permissive</t>
  </si>
  <si>
    <t xml:space="preserve">CMF: 9899</t>
  </si>
  <si>
    <t xml:space="preserve">Crash Type = Vehicle-Vehicle Crashes</t>
  </si>
  <si>
    <t xml:space="preserve">Changing Left Turn Phasing From Protected-Permissive To Flashing Yellow Arrow (Fya)</t>
  </si>
  <si>
    <t xml:space="preserve">CMF: 11338</t>
  </si>
  <si>
    <t xml:space="preserve">This CMF is for FYA Intersections Switching
From 24-Hour to TOD FYA Operation with Single Left-Turn Lanes. 
The category includes FYA intersections that first ran 24-hour FYA operation type, but were switched to running TOD FYA.</t>
  </si>
  <si>
    <t xml:space="preserve">Rear-end; criteria is angle / head-on</t>
  </si>
  <si>
    <t xml:space="preserve">Changing Left Turn Phasing From At Least One Permissive Approach To Flashing Yellow Arrow (Fya)</t>
  </si>
  <si>
    <t xml:space="preserve">CMF: 4175</t>
  </si>
  <si>
    <t xml:space="preserve">AADT tested: 8,260-43,000.</t>
  </si>
  <si>
    <t xml:space="preserve">Changing Left Turn Phasing On More Than One Approach From Permissive To Protected-Permissive</t>
  </si>
  <si>
    <t xml:space="preserve">CMF: 4170</t>
  </si>
  <si>
    <t xml:space="preserve">Install Left Turn Flashing Yellow Arrow Signals And Supplemental Traffic Signs</t>
  </si>
  <si>
    <t xml:space="preserve">CMF: 7730</t>
  </si>
  <si>
    <t xml:space="preserve">CMFs of left-turn related crashed on signalized intersections, including not interchange related and interchange related intersections. Applies to approaches with dedicated left turn lanes and PPLT phasing before and after.</t>
  </si>
  <si>
    <t xml:space="preserve">AADT tested: 3,250-37,500.</t>
  </si>
  <si>
    <t xml:space="preserve">Conversion Of Stop-Controlled Intersection Into Single-Lane Roundabout</t>
  </si>
  <si>
    <t xml:space="preserve">CMF: 211</t>
  </si>
  <si>
    <t xml:space="preserve">Convert Signalized Intersection To Modern Roundabout</t>
  </si>
  <si>
    <t xml:space="preserve">CMF: 226</t>
  </si>
  <si>
    <t xml:space="preserve">CMF: 4259</t>
  </si>
  <si>
    <t xml:space="preserve">Countermeasure name has been slightly modified for consistency across Clearinghouse</t>
  </si>
  <si>
    <t xml:space="preserve">AADT tested: 5,322-43,123.</t>
  </si>
  <si>
    <t xml:space="preserve">Conversion Of Stop-Controlled Intersection To Mini Roundabout</t>
  </si>
  <si>
    <t xml:space="preserve">CMF: 11524</t>
  </si>
  <si>
    <t xml:space="preserve">15-50</t>
  </si>
  <si>
    <t xml:space="preserve">25-49 sites / 250-499 crashes</t>
  </si>
  <si>
    <t xml:space="preserve">CMF is presented in Table 18 in the report.</t>
  </si>
  <si>
    <t xml:space="preserve">AADT tested: 643-15,138.</t>
  </si>
  <si>
    <t xml:space="preserve">Convert Intersection To Roundabout</t>
  </si>
  <si>
    <t xml:space="preserve">CMF: 9156</t>
  </si>
  <si>
    <t xml:space="preserve">K (fatal)</t>
  </si>
  <si>
    <t xml:space="preserve">&lt;50 or unknown sites / 250-499 crashes</t>
  </si>
  <si>
    <t xml:space="preserve">Meta-regression</t>
  </si>
  <si>
    <t xml:space="preserve">Includes single and double lane roundabouts</t>
  </si>
  <si>
    <t xml:space="preserve">Conversion Of Intersection Into High-Speed Roundabout</t>
  </si>
  <si>
    <t xml:space="preserve">CMF: 10435</t>
  </si>
  <si>
    <t xml:space="preserve">35-55</t>
  </si>
  <si>
    <t xml:space="preserve">The number of crashes in the after period were not reported in this study, however, they have been recorded as 300 to give 10 points as a beneift of doubt for one or more of the following: (1) number of miles/sites in the reference/treatment group, (2) number of crashes in the references/treatment group, (3) reporting AADTs for the aggregate dataset but not for the disaggragate dataset used for CMF development.</t>
  </si>
  <si>
    <t xml:space="preserve">AADT tested: 2,000-12,500.</t>
  </si>
  <si>
    <t xml:space="preserve">Conversion Of Signalized Intersection Into Single- Or Multi-Lane Roundabout</t>
  </si>
  <si>
    <t xml:space="preserve">CMF: 212</t>
  </si>
  <si>
    <t xml:space="preserve">CMF: 206</t>
  </si>
  <si>
    <t xml:space="preserve">Convert Minor-Road Stop Control To All-Way Stop Control</t>
  </si>
  <si>
    <t xml:space="preserve">CMF: 310</t>
  </si>
  <si>
    <t xml:space="preserve">Install An Intersection Conflict Warning System (ICWS) With Post Mounted Signs (Various Messages) And Flashers In Advance Of The Intersection On Major; Loop On Minor</t>
  </si>
  <si>
    <t xml:space="preserve">CMF: 8462</t>
  </si>
  <si>
    <t xml:space="preserve">CMF for 2-lane at 2-lane intersections</t>
  </si>
  <si>
    <t xml:space="preserve">Install Intersection Conflict Warning Systems (ICWS) For Two-Lane At Two-Lane Intersections</t>
  </si>
  <si>
    <t xml:space="preserve">CMF: 8439</t>
  </si>
  <si>
    <t xml:space="preserve">Install An Intersection Conflict Warning System (ICWS) With A Combination Of Overhead And Advanced Post Mounted Signs (Various Messages) And Flashers</t>
  </si>
  <si>
    <t xml:space="preserve">CMF: 8474</t>
  </si>
  <si>
    <t xml:space="preserve">Install Intersection Conflict Warning Systems (ICWS) For Four-Lane At Two-Lane Intersections</t>
  </si>
  <si>
    <t xml:space="preserve">CMF: 8454</t>
  </si>
  <si>
    <t xml:space="preserve">Install An Intersection Conflict Warning System (ICWS) With Overhead Signs (Various Messages) And Flashers At The Intersection On Major; Loop On Minor</t>
  </si>
  <si>
    <t xml:space="preserve">CMF: 8457</t>
  </si>
  <si>
    <t xml:space="preserve">Install An Intersection Conflict Warning System (ICWS) With Post Mounted Signs (Various Messages) And Flashers At The Intersection On Minor; Loop On Major</t>
  </si>
  <si>
    <t xml:space="preserve">CMF: 8471</t>
  </si>
  <si>
    <t xml:space="preserve">CMF for 4-lane at 2-lane intersections</t>
  </si>
  <si>
    <t xml:space="preserve">Implement Systemic Signing And Marking Improvements At Stop-Controlled Intersections</t>
  </si>
  <si>
    <t xml:space="preserve">CMF: 8867</t>
  </si>
  <si>
    <t xml:space="preserve">Stop-controlled</t>
  </si>
  <si>
    <t xml:space="preserve">AADT tested: 641-41,731.</t>
  </si>
  <si>
    <t xml:space="preserve">Replace Standard Stop Sign With Flashing LED Stop Sign</t>
  </si>
  <si>
    <t xml:space="preserve">CMF: 6602</t>
  </si>
  <si>
    <t xml:space="preserve">The authors used a hierarchical Bayes before-after method. The number of crashes in the after period were not reported in this study, however, they have been recorded as 300 to give 10 points as a beneift of doubt for one or more of the following: (1) number of miles/sites in the reference/treatment group, (2) number of crashes in the references/treatment group, (3) reporting AADTs for the aggregate dataset but not for the disaggragate dataset used for CMF development.</t>
  </si>
  <si>
    <t xml:space="preserve">Angle only; criteria is all crashes</t>
  </si>
  <si>
    <t xml:space="preserve">Provide Flashing Beacons At Stop Controlled Intersections</t>
  </si>
  <si>
    <t xml:space="preserve">CMF: 456</t>
  </si>
  <si>
    <t xml:space="preserve">&lt;25 or unknown sites /  crashes</t>
  </si>
  <si>
    <t xml:space="preserve">This CMF is for standard stop-mounted beacons. Countermeasure name changed from "flashing beacons at four leg stop controlled intersections on two lane roads; standard and actuated beacons" to match HSM</t>
  </si>
  <si>
    <t xml:space="preserve">AADT tested: 250-42,520.</t>
  </si>
  <si>
    <t xml:space="preserve">Implement Systemic Signing And Visibility Improvements At Signalized Intersections</t>
  </si>
  <si>
    <t xml:space="preserve">CMF: 8970</t>
  </si>
  <si>
    <t xml:space="preserve">CMF for right-angle crashes at 2 mainline lanes and 2 cross street lanes 4-legged intersections. The number of crashes in the after period were not reported in this study, however, they have been recorded as 300 to give 10 points as a beneift of doubt for one or more of the following: (1) number of miles/sites in the reference/treatment group, (2) number of crashes in the references/treatment group, (3) reporting AADTs for the aggregate dataset but not for the disaggragate dataset used for CMF development.</t>
  </si>
  <si>
    <t xml:space="preserve">AADT tested: 4,272-41,100.</t>
  </si>
  <si>
    <t xml:space="preserve">Signalized intersections; criteria is stop-controlled</t>
  </si>
  <si>
    <t xml:space="preserve">CMF: 8880</t>
  </si>
  <si>
    <t xml:space="preserve">Modify Change Plus Clearance Interval To Ite 1985 Proposed Recommended Practice</t>
  </si>
  <si>
    <t xml:space="preserve">CMF: 380</t>
  </si>
  <si>
    <t xml:space="preserve">bold star</t>
  </si>
  <si>
    <t xml:space="preserve">Countermeasure name changed from "retiming signal change intervals to ITE standards" to match HSM</t>
  </si>
  <si>
    <t xml:space="preserve">Increase All Red Clearance Interval</t>
  </si>
  <si>
    <t xml:space="preserve">CMF: 4211</t>
  </si>
  <si>
    <t xml:space="preserve">Assumed 2 crashes per site for both the before and after periods to estimate sample size.</t>
  </si>
  <si>
    <t xml:space="preserve">AADT tested: 5,950-31,600.</t>
  </si>
  <si>
    <t xml:space="preserve">Provide Highway Lighting</t>
  </si>
  <si>
    <t xml:space="preserve">CMF: 192</t>
  </si>
  <si>
    <t xml:space="preserve">Improve Street Lighting Illuminance And Uniformity</t>
  </si>
  <si>
    <t xml:space="preserve">CMF: 11027</t>
  </si>
  <si>
    <t xml:space="preserve">Case-control</t>
  </si>
  <si>
    <t xml:space="preserve">CMF of increasing the average lighting level from [0.5 fc, 1.0 fc] to &gt;1.0 fc</t>
  </si>
  <si>
    <t xml:space="preserve">Install Lighting</t>
  </si>
  <si>
    <t xml:space="preserve">CMF: 7784</t>
  </si>
  <si>
    <t xml:space="preserve">CMFs of adding lighting on urban 4-lane and 6-lane principal and minor arterials The number of crashes in the after period were not reported in this study, however, they have been recorded as 300 to give 10 points as a beneift of doubt for one or more of the following: (1) number of miles/sites in the reference/treatment group, (2) number of crashes in the references/treatment group, (3) reporting AADTs for the aggregate dataset but not for the disaggragate dataset used for CMF development.</t>
  </si>
  <si>
    <t xml:space="preserve">Rear-end only; criteria excludes rear-end</t>
  </si>
  <si>
    <t xml:space="preserve">CMF: 2376</t>
  </si>
  <si>
    <t xml:space="preserve">25-55</t>
  </si>
  <si>
    <t xml:space="preserve">AADT tested: 420-15,200.</t>
  </si>
  <si>
    <t xml:space="preserve">Rural intersection angle crashes only</t>
  </si>
  <si>
    <t xml:space="preserve">Install High Friction Surface Treatment (Hfst)</t>
  </si>
  <si>
    <t xml:space="preserve">CMF: 10342</t>
  </si>
  <si>
    <t xml:space="preserve">Improve Pavement Friction (Increase Skid Resistance)</t>
  </si>
  <si>
    <t xml:space="preserve">CMF: 2259</t>
  </si>
  <si>
    <t xml:space="preserve">AADT tested: 3,475-65,850.</t>
  </si>
  <si>
    <t xml:space="preserve">Improve Pavement Friction (Chip Seal)</t>
  </si>
  <si>
    <t xml:space="preserve">CMF: 7302</t>
  </si>
  <si>
    <t xml:space="preserve">Run off road,Wet road</t>
  </si>
  <si>
    <t xml:space="preserve">Only: Run off road,Wet road</t>
  </si>
  <si>
    <t xml:space="preserve">AADT tested: 1,280-22,600.</t>
  </si>
  <si>
    <t xml:space="preserve">Improve Pavement Friction (OGFC-Open Graded Friction Course)</t>
  </si>
  <si>
    <t xml:space="preserve">CMF: 7469</t>
  </si>
  <si>
    <t xml:space="preserve">AADT tested: 14,961-158,656.</t>
  </si>
  <si>
    <t xml:space="preserve">Improve Pavement Friction (UTBWC-Ultra Thin Bonded Wearing Course)</t>
  </si>
  <si>
    <t xml:space="preserve">CMF: 7560</t>
  </si>
  <si>
    <t xml:space="preserve">Wet road</t>
  </si>
  <si>
    <t xml:space="preserve">Only: Wet road</t>
  </si>
  <si>
    <t xml:space="preserve">AADT tested: 2,508-50,811.</t>
  </si>
  <si>
    <t xml:space="preserve">Improve Pavement Friction (Microsurfacing)</t>
  </si>
  <si>
    <t xml:space="preserve">CMF: 7406</t>
  </si>
  <si>
    <t xml:space="preserve">AADT tested: 628-30,314.</t>
  </si>
  <si>
    <t xml:space="preserve">Improve Pavement Friction (Diamond Grinding)</t>
  </si>
  <si>
    <t xml:space="preserve">CMF: 7375</t>
  </si>
  <si>
    <t xml:space="preserve">AADT tested: 10,240-278,200.</t>
  </si>
  <si>
    <t xml:space="preserve">Improve Pavement Friction (Thin HMA-Hot Mix Asphalt)</t>
  </si>
  <si>
    <t xml:space="preserve">CMF: 7519</t>
  </si>
  <si>
    <t xml:space="preserve">AADT tested: 69-8,489.</t>
  </si>
  <si>
    <t xml:space="preserve">FIELD REFERENCE</t>
  </si>
  <si>
    <t xml:space="preserve">Field (as in the builder)</t>
  </si>
  <si>
    <t xml:space="preserve">Level</t>
  </si>
  <si>
    <t xml:space="preserve">Values used in this workbook (SMS code)</t>
  </si>
  <si>
    <t xml:space="preserve">New TR-310 / MMUCC 5th equivalent</t>
  </si>
  <si>
    <t xml:space="preserve">Source / status</t>
  </si>
  <si>
    <t xml:space="preserve">Junction Type</t>
  </si>
  <si>
    <t xml:space="preserve">Crash</t>
  </si>
  <si>
    <t xml:space="preserve">NON-JUNCTION (13), Cross-Over (01), Driveway (02), Four-Way Intersection (04), T-Intersection (08), Y-Intersection (12), Five/More Points (03), Traffic Circle (09)</t>
  </si>
  <si>
    <t xml:space="preserve">Split into Relation to Junction + Type of Intersection</t>
  </si>
  <si>
    <t xml:space="preserve">Confirmed: your Condition Builder query + SC crash data dictionary</t>
  </si>
  <si>
    <t xml:space="preserve">Manner of Collision</t>
  </si>
  <si>
    <t xml:space="preserve">Non Collision (00), Rear End (10), Head On (20), Angle (41/42/43), Sideswipe, Same Direction (50), Sideswipe, Opposite Direction (60)</t>
  </si>
  <si>
    <t xml:space="preserve">C9 Manner of Crash: Front to Rear, Front to Front, Angle, Sideswipe... New-form codes differ (Angle is 80 there, not in the SMS)</t>
  </si>
  <si>
    <t xml:space="preserve">Confirmed: your query + SC dictionary. Angle may list three times.</t>
  </si>
  <si>
    <t xml:space="preserve">First Harmful Event / Crash Harmful Event</t>
  </si>
  <si>
    <t xml:space="preserve">Cross Median/Center (02), Overturn/Rollover (08), Ran off Road Left (09), Ran off Road Right (10), Animal - Deer (20), Animal - Other (21), Pedalcycle (26), Pedestrian (27), Bridge Parapet End (41), Bridge Pier or Abutment (42), Bridge Rail (43), Culvert (44), Ditch (46), Embankment (47), Guardrail End (50), Guardrail Face (51), Median Barrier (56), Tree (60), Utility Pole (61)</t>
  </si>
  <si>
    <t xml:space="preserve">C7 First Harmful Event. Under MMUCC, ran off road and cross median are NOT harmful events - they only go in Sequence of Events. New-form codes differ (Pedestrian 26, Pedalcycle 25).</t>
  </si>
  <si>
    <t xml:space="preserve">Confirmed: SC dictionary. Crash Harmful Event = most harmful event of the crash.</t>
  </si>
  <si>
    <t xml:space="preserve">Sequence of Events</t>
  </si>
  <si>
    <t xml:space="preserve">Unit (one row per event)</t>
  </si>
  <si>
    <t xml:space="preserve">Same list as above. Used here: Cross Median/Center, Ran off Road Left</t>
  </si>
  <si>
    <t xml:space="preserve">V20 Sequence of Events</t>
  </si>
  <si>
    <t xml:space="preserve">Use with '=' only. '≠' drops that row, not the crash.</t>
  </si>
  <si>
    <t xml:space="preserve">First Harmful Event Location</t>
  </si>
  <si>
    <t xml:space="preserve">Gore (1), Island (2), Median (3), Roadside (4), Roadway (5), Shoulder (6), Sidewalk (7), Outside Trafficway (8), Unknown (9)</t>
  </si>
  <si>
    <t xml:space="preserve">C8 Location of First Harmful Event</t>
  </si>
  <si>
    <t xml:space="preserve">Confirmed: SMS dictionary you sent</t>
  </si>
  <si>
    <t xml:space="preserve">Trafficway</t>
  </si>
  <si>
    <t xml:space="preserve">Crash / Roadway</t>
  </si>
  <si>
    <t xml:space="preserve">Two-Way, Not Divided (1); Two-Way, Divided, Unprotected Median (2); Two-Way, Divided, Barrier (3); One-Way (4); Other (8)</t>
  </si>
  <si>
    <t xml:space="preserve">Trafficway Description (adds TWLTL as its own value)</t>
  </si>
  <si>
    <t xml:space="preserve">Confirmed: SMS dictionary + SC dictionary. Under Roadway, next to AADT.</t>
  </si>
  <si>
    <t xml:space="preserve">Road Character</t>
  </si>
  <si>
    <t xml:space="preserve">Curve-Level (4), Curve-On Grade (5), Curve-Hillcrest (6)</t>
  </si>
  <si>
    <t xml:space="preserve">Roadway Alignment and Grade (Curve Left / Curve Right)</t>
  </si>
  <si>
    <t xml:space="preserve">SC dictionary - confirm dropdown label</t>
  </si>
  <si>
    <t xml:space="preserve">Light Condition</t>
  </si>
  <si>
    <t xml:space="preserve">Dark (Lighting Unspecified) (4), Dark (Street Lamp Lit) (5), Dark (Street Lamps Not Lit) (6), Dark (No Lights) (7)</t>
  </si>
  <si>
    <t xml:space="preserve">Light Condition: Dark-Lighted, Dark-Not Lighted, Dark-Unknown Lighting</t>
  </si>
  <si>
    <t xml:space="preserve">Road Surface Condition</t>
  </si>
  <si>
    <t xml:space="preserve">Wet (2)</t>
  </si>
  <si>
    <t xml:space="preserve">Roadway Surface Condition</t>
  </si>
  <si>
    <t xml:space="preserve">SC dictionary</t>
  </si>
  <si>
    <t xml:space="preserve">Traffic Signal, Stop Sign</t>
  </si>
  <si>
    <t xml:space="preserve">Traffic Control Device Type</t>
  </si>
  <si>
    <t xml:space="preserve">Label not confirmed - check dropdown</t>
  </si>
  <si>
    <t xml:space="preserve">Probable Cause</t>
  </si>
  <si>
    <t xml:space="preserve">Unit</t>
  </si>
  <si>
    <t xml:space="preserve">Disregarded Sign/Signal (01), Exceeded Speed Limit (04), Obstruction in Roadway, Debris. Too Fast for Conditions (03) not used.</t>
  </si>
  <si>
    <t xml:space="preserve">Driver Contributing Circumstances + Speeding-Related (Racing / Exceeded / Too Fast)</t>
  </si>
  <si>
    <t xml:space="preserve">Codes 01/03/04 from SC dictionary; roadway labels from the team meeting. '≠' works on run-off-road crashes because they have one unit.</t>
  </si>
  <si>
    <t xml:space="preserve">Unit Type</t>
  </si>
  <si>
    <t xml:space="preserve">Pedalcycle, Pedestrian</t>
  </si>
  <si>
    <t xml:space="preserve">Unit Type / Non-Motorist Unit Type</t>
  </si>
  <si>
    <t xml:space="preserve">Numetric filter logic</t>
  </si>
  <si>
    <t xml:space="preserve">Vehicle Maneuver (unit movement)</t>
  </si>
  <si>
    <t xml:space="preserve">Turning Left</t>
  </si>
  <si>
    <t xml:space="preserve">Vehicle Maneuver/Action</t>
  </si>
  <si>
    <t xml:space="preserve">Field name not confirmed - check builder</t>
  </si>
  <si>
    <t xml:space="preserve">Roadway: AADT, Through Lanes, Speed Limit, Area Type</t>
  </si>
  <si>
    <t xml:space="preserve">Roadway</t>
  </si>
  <si>
    <t xml:space="preserve">AADT &gt; 20000 / &lt;= 20000, Through Lanes = 2 / = 4 / &gt;= 4, Speed Limit &gt;= 35 / &lt;= 40, Area Type = Urban / Rural</t>
  </si>
  <si>
    <t xml:space="preserve">Not crash-report fields (road inventory)</t>
  </si>
  <si>
    <t xml:space="preserve">AADT and lanes confirmed under Roadway. Speed Limit and Area Type - confirm.</t>
  </si>
  <si>
    <t xml:space="preserve">Roadway Departure (derived)</t>
  </si>
  <si>
    <t xml:space="preserve">Manner of Collision = Non Collision AND Crash Harmful Event not Pedestrian, Pedalcycle, Animal (deer), Animal (all other)</t>
  </si>
  <si>
    <t xml:space="preserve">Numetric, SCDOT Custom Filter Logic, Apr 2025. Does not remove obstruction/debris - added on top.</t>
  </si>
  <si>
    <t xml:space="preserve">Lane Departure (derived)</t>
  </si>
  <si>
    <t xml:space="preserve">Roadway Departure OR Manner of Collision = Head On / Sideswipe, Opposite Direction</t>
  </si>
  <si>
    <t xml:space="preserve">Numetric, Apr 2025</t>
  </si>
  <si>
    <t xml:space="preserve">Intersection Related (derived)</t>
  </si>
  <si>
    <t xml:space="preserve">Junction Type = Five/More Points, Four-Way, T, Y, Traffic Circle (no driveways)</t>
  </si>
  <si>
    <t xml:space="preserve">Numetric, Apr 2025. Runs on Junction Type, which is what production data has today. Has to be rebuilt when new-form crashes reach production.</t>
  </si>
  <si>
    <t xml:space="preserve">Pedestrian Related (derived)</t>
  </si>
  <si>
    <t xml:space="preserve">Crash Harmful Event = Pedestrian</t>
  </si>
  <si>
    <t xml:space="preserve">Rules for the Condition Builder</t>
  </si>
  <si>
    <t xml:space="preserve">1. Group ORs in parentheses. Without them 'A AND B OR C' is read as '(A AND B) OR C', so C crashes come in without A or B (that is what happens to AADT &gt; 20000 in a flat median barrier query).</t>
  </si>
  <si>
    <t xml:space="preserve">2. A list of exclusions uses AND: X ≠ a AND X ≠ b. With OR, every crash passes (a value can't equal both, so one of the '≠' is always true).</t>
  </si>
  <si>
    <t xml:space="preserve">3. '≠' on a unit field (Sequence of Events, Probable Cause, Unit Type, maneuver) only drops that row. The crash still comes in through its other rows. Use '≠' on crash-level fields only.</t>
  </si>
  <si>
    <t xml:space="preserve">4. Pick values from the dropdown. Codes here are only to check the JSON / export. The SMS codes are not the new TR-310 codes (Pedestrian is 27 in the SMS, 26 on the new form).</t>
  </si>
  <si>
    <t xml:space="preserve">5. New-form (MMUCC) crash reports are not in production yet. When they load, ran off road and cross median will be in Sequence of Events only, so criteria that look for them in First Harmful Event will start missing crashes.</t>
  </si>
  <si>
    <t xml:space="preserve">CHANGES FROM THE PREVIOUS VERSION</t>
  </si>
  <si>
    <t xml:space="preserve">Where</t>
  </si>
  <si>
    <t xml:space="preserve">What changed</t>
  </si>
  <si>
    <t xml:space="preserve">Why / open item</t>
  </si>
  <si>
    <t xml:space="preserve">Previous criteria</t>
  </si>
  <si>
    <t xml:space="preserve">All countermeasures</t>
  </si>
  <si>
    <t xml:space="preserve">Criteria rewritten with SMS field names and dropdown labels.</t>
  </si>
  <si>
    <t xml:space="preserve">The old column used new TR-310 fields (Relation to Junction, Type of Intersection, Alignment, Non-Motorist Unit Type, Contributing Roadway Condition) and new-form codes. Those fields aren't in the production SMS, and several codes mean something else there.</t>
  </si>
  <si>
    <t xml:space="preserve">Codes that pointed to the wrong value in the SMS were replaced by labels.</t>
  </si>
  <si>
    <t xml:space="preserve">Pedestrian 26 is Pedalcycle in the SMS (Pedestrian is 27). Pedalcycle 25 is Motor Vehicle (Parked). Angle 80 doesn't exist (41-43). Tree 57 is Overhead Sign Support (Tree is 60). Utility Pole 59 is Other (Wall, Bldg) (pole is 61). Guardrail 41 is Bridge Parapet End. Median Barrier 44 is Culvert (56). Light 04-06 are shifted (SMS uses 4-7).</t>
  </si>
  <si>
    <t xml:space="preserve">Treatments, columns C-G</t>
  </si>
  <si>
    <t xml:space="preserve">45 treatments: severities the study didn't cover now read 1.00.</t>
  </si>
  <si>
    <t xml:space="preserve">The CMF had been copied to all five severities. A KABC-only CMF was also cutting PDO crashes, and the two PDO-only CMFs were cutting fatal crashes. Column P keeps the study value; C-G are formulas.</t>
  </si>
  <si>
    <t xml:space="preserve">Treatments, columns AH-AI</t>
  </si>
  <si>
    <t xml:space="preserve">New 'Fit with CM criteria' flag for each treatment.</t>
  </si>
  <si>
    <t xml:space="preserve">AASHTOWare applies the CMF only to crashes that pass the countermeasure criteria. If the CMF was measured on a different group, the benefit is off. This is the 51% vs 13% problem from the meeting.</t>
  </si>
  <si>
    <t xml:space="preserve">Treatment Selector, column AA</t>
  </si>
  <si>
    <t xml:space="preserve">133 broken formulas (REF errors) fixed; 'Read this before you use it' column made visible again.</t>
  </si>
  <si>
    <t xml:space="preserve">They pointed to a Treatments column that had been deleted.</t>
  </si>
  <si>
    <t xml:space="preserve">By countermeasure</t>
  </si>
  <si>
    <t xml:space="preserve">Speed Related = Racing (1) or Exceeded Speed Limit (2)</t>
  </si>
  <si>
    <t xml:space="preserve">Non-Motorist Unit Type = Bicyclist (66) or Other Cyclist (67)
or First Harmful Event = Pedalcycle (25)
or Unit Type = Motorized Bike (40)</t>
  </si>
  <si>
    <t xml:space="preserve">( First Harmful Event = Pedestrian (26) or Pedalcycle (25)
  or Non-Motorist Unit Type = Bicyclist (66) or Other Cyclist (67) )
and Relation to Junction = Intersection or Related (05)</t>
  </si>
  <si>
    <t xml:space="preserve">Relation to Junction = Intersection or Related (05)
and Traffic Control Device = Traffic Control Signal (17)
and First Harmful Event = Pedestrian (26) or Pedalcycle (25)
and VEHICLE Action Prior to Impact = Turning Left (10) or Turning Right (11)</t>
  </si>
  <si>
    <t xml:space="preserve">First Harmful Event = Pedestrian (26)
and Relation to Junction = Non-Junction (00)
and Through Lanes &gt;= 4</t>
  </si>
  <si>
    <t xml:space="preserve">First Harmful Event = Pedestrian (26) or Pedalcycle (25)
and Relation to Junction = Non-Junction (00)
and Traffic Control Device is not Traffic Control Signal (17)
and Through Lanes &gt;= 2
and Speed Limit &gt;= 35</t>
  </si>
  <si>
    <t xml:space="preserve">First Harmful Event = Pedestrian (26) or Pedalcycle (25)
and Relation to Junction = Non-Junction (00)
and Traffic Control Device is not Traffic Control Signal (17)</t>
  </si>
  <si>
    <t xml:space="preserve">Through Lanes = 4
and Trafficway = Two-Way, Not Divided
and road is Urban (exclude Urban Interstate and Urban Freeway/Expressway)
and ( Manner of Collision = Front To Rear (10), Front To Front (20), or Angle (80)
      or First Harmful Event = Pedestrian (26) or Pedalcycle (25) )</t>
  </si>
  <si>
    <t xml:space="preserve">First Harmful Event = Pedestrian (26)
and Relation to Junction = Non-Junction (00)
and NON-MOTORIST Action Prior to Impact = Walking Along Roadway With Traffic (27), Against Traffic (28), or Adjacent to Roadway (31)</t>
  </si>
  <si>
    <t xml:space="preserve">Relation to Junction = Non-Junction (00)
and Alignment = Curve Left (02) or Curve Right (03)
      [or Vehicle Action Prior to Impact = Negotiating a Curve (07)]
and Manner of Collision = Not a Collision with Motor Vehicle in Transport (00)
and First Harmful Event is not Pedestrian (26) or Pedalcycle (25)
and Most Harmful Event is not Animal-Deer (20) or Animal-Not Deer (21)
and Contributing Roadway Condition is not Obstruction in Roadway (11) or Debris (10)</t>
  </si>
  <si>
    <t xml:space="preserve">Relation to Junction = Non-Junction (00)
and Through Lanes = 2 and Trafficway = Two-Way, Not Divided
and ( Manner of Collision = Front To Front (20) or Sideswipe Opposite Direction (40)
      or Sequence of Events = Cross Centerline (01) )
and Most Harmful Event is not Animal-Deer (20) or Animal-Not Deer (21)</t>
  </si>
  <si>
    <t xml:space="preserve">Relation to Junction = Non-Junction (00)
and Manner of Collision = Not a Collision with Motor Vehicle in Transport (00)
and First Harmful Event is not Pedestrian (26) or Pedalcycle (25)
and Most Harmful Event is not Animal-Deer (20) or Animal-Not Deer (21)
and Contributing Roadway Condition is not Obstruction in Roadway (11) or Debris (10)
[optional refinement, NOT a gate: Sequence of Events = Ran Off Road Left (06) or Right (07)]</t>
  </si>
  <si>
    <t xml:space="preserve">Relation to Junction = Non-Junction (00)
and ( Manner of Collision = Front To Front (20) or Sideswipe Opposite Direction (40)
      or Sequence of Events = Cross Median (02) or Cross Centerline (01) )
and Most Harmful Event is a rollover or a fixed object a barrier would have stopped
and Most Harmful Event is not an existing barrier (Guardrail 41, Median Barrier 44, Bridge Rail 42)</t>
  </si>
  <si>
    <t xml:space="preserve">Relation to Junction = Non-Junction (00)
and Alignment = Curve Left (02) or Curve Right (03)
and Number of Vehicles = 1
and Most Harmful Event = a roadside fixed object (Tree 57, Utility Pole 59, Culvert, Ditch, Embankment, Sign Post...)
and Manner of Collision = Not a Collision with Motor Vehicle in Transport (00)
and First Harmful Event is not Pedestrian (26) or Pedalcycle (25)
and Most Harmful Event is not Animal-Deer (20) or Animal-Not Deer (21)
and Contributing Roadway Condition is not Obstruction in Roadway (11) or Debris (10)
[optional refinement, NOT a gate: Sequence of Events = Ran Off Road Left (06) or Right (07)]</t>
  </si>
  <si>
    <t xml:space="preserve">Relation to Junction = Non-Junction (00)
and Number of Vehicles = 1
and Most Harmful Event = embankment, ditch, tree, pole, culvert or similar roadside object
and Manner of Collision = Not a Collision with Motor Vehicle in Transport (00)
and First Harmful Event is not Pedestrian (26) or Pedalcycle (25)
and Most Harmful Event is not Animal-Deer (20) or Animal-Not Deer (21)
and Contributing Roadway Condition is not Obstruction in Roadway (11) or Debris (10)</t>
  </si>
  <si>
    <t xml:space="preserve">Number of Vehicles = 1
and Manner of Collision = Not a Collision with Motor Vehicle in Transport (00)
and First Harmful Event is not Pedestrian (26) or Pedalcycle (25)
and Most Harmful Event is not Animal-Deer (20) or Animal-Not Deer (21)
and Contributing Roadway Condition is not Obstruction in Roadway (11) or Debris (10)</t>
  </si>
  <si>
    <t xml:space="preserve">Translated to SMS labels.</t>
  </si>
  <si>
    <t xml:space="preserve">Relation to Junction = Intersection or Related (05)
and Traffic Control Device = Traffic Control Signal (17)
and Manner of Collision = Angle (80) or Front To Rear (10)</t>
  </si>
  <si>
    <t xml:space="preserve">Relation to Junction = Intersection or Related (05) or Driveway Access or Related (03)
and First Harmful Event is not Pedestrian (26) or Pedalcycle (25)
and Manner of Collision = Angle (80), Front To Rear (10), or Front To Front (20)</t>
  </si>
  <si>
    <t xml:space="preserve">Type of Intersection = T (01), Y (02), L (03), Four Leg (04), or Five Leg or More (05)
and Relation to Junction = Intersection or Related (05)
and Number of Vehicles &gt;= 2
and Manner of Collision = Angle (80) or Front To Rear (10)
optional : Vehicle Action Prior to Impact = Turning Right (11)</t>
  </si>
  <si>
    <t xml:space="preserve">Type of Intersection = T (01), Y (02), L (03), Four Leg (04), or Five Leg or More (05)
and Relation to Junction = Intersection or Related (05)
and Number of Vehicles &gt;= 2
and Manner of Collision = Angle (80), Front To Rear (10), or Front To Front (20)
optional: Vehicle Action Prior to Impact = Turning Left (10)</t>
  </si>
  <si>
    <t xml:space="preserve">Relation to Junction = Intersection or Related (05)
and Manner of Collision = Angle (80) or Front To Front (20)
optional: Vehicle Action Prior to Impact = Turning Left (10)</t>
  </si>
  <si>
    <t xml:space="preserve">Relation to Junction = Intersection or Related (05)
and Traffic Control Device = Traffic Control Signal (17)
and Vehicle Action Prior to Impact = Turning Left (10)
and Manner of Collision = Angle (80) or Front To Front (20)</t>
  </si>
  <si>
    <t xml:space="preserve">Type of Intersection = T (01), Y (02), Four Leg (04), or Five Leg or More (05)
and Relation to Junction = Intersection or Related (05)
and Number of Vehicles &gt;= 2
and Manner of Collision = Angle (80) or Front To Front (20)</t>
  </si>
  <si>
    <t xml:space="preserve">Relation to Junction = Intersection or Related (05)
and Traffic Control Device = Stop Sign (08)
and Manner of Collision = Angle (80)</t>
  </si>
  <si>
    <t xml:space="preserve">Relation to Junction = Intersection or Related (05)
and Traffic Control Device = Stop Sign (08)
and Manner of Collision = Angle (80)
and Area Type = Rural</t>
  </si>
  <si>
    <t xml:space="preserve">Relation to Junction = Intersection or Related (05)
and Traffic Control Device = Stop Sign (08)
and Type of Intersection = T (01), Y (02), or Four Leg (04)</t>
  </si>
  <si>
    <t xml:space="preserve">Relation to Junction = Intersection or Related (05)
and Traffic Control Device = Traffic Control Signal (17)
and Manner of Collision = Front To Rear (10) or Angle (80)
and Driver Action = Ran Red Light (01)</t>
  </si>
  <si>
    <t xml:space="preserve">Light Condition = Dark-Not Lighted (04), Dark-Lighted (05), or Dark-Unknown Lighting (06)
and Manner of Collision is not Front To Rear (10)</t>
  </si>
  <si>
    <t xml:space="preserve">Road Surface Condition = Wet (02), Ice/Frost (05), or Slush (04)
and ( Vehicle Action Prior to Impact = Negotiating a Curve (07)
      or Manner of Collision = Not a Collision with Motor Vehicle in Transport (00)
and First Harmful Event is not Pedestrian (26) or Pedalcycle (25)
and Most Harmful Event is not Animal-Deer (20) or Animal-Not Deer (21)
and Contributing Roadway Condition is not Obstruction in Roadway (11) or Debris (10)
</t>
  </si>
</sst>
</file>

<file path=xl/styles.xml><?xml version="1.0" encoding="utf-8"?>
<styleSheet xmlns="http://schemas.openxmlformats.org/spreadsheetml/2006/main">
  <numFmts count="2">
    <numFmt numFmtId="164" formatCode="General"/>
    <numFmt numFmtId="165" formatCode="General"/>
  </numFmts>
  <fonts count="29">
    <font>
      <sz val="10"/>
      <color rgb="FF000000"/>
      <name val="Arial"/>
      <family val="0"/>
      <charset val="1"/>
    </font>
    <font>
      <sz val="10"/>
      <name val="Arial"/>
      <family val="0"/>
    </font>
    <font>
      <sz val="10"/>
      <name val="Arial"/>
      <family val="0"/>
    </font>
    <font>
      <sz val="10"/>
      <name val="Arial"/>
      <family val="0"/>
    </font>
    <font>
      <b val="true"/>
      <sz val="14"/>
      <color rgb="FFFBD567"/>
      <name val="Arial"/>
      <family val="0"/>
      <charset val="1"/>
    </font>
    <font>
      <sz val="9"/>
      <color rgb="FF555555"/>
      <name val="Arial"/>
      <family val="0"/>
      <charset val="1"/>
    </font>
    <font>
      <b val="true"/>
      <sz val="10"/>
      <color rgb="FFFBD567"/>
      <name val="Arial"/>
      <family val="0"/>
      <charset val="1"/>
    </font>
    <font>
      <b val="true"/>
      <sz val="9"/>
      <color rgb="FF222222"/>
      <name val="Arial"/>
      <family val="0"/>
      <charset val="1"/>
    </font>
    <font>
      <b val="true"/>
      <sz val="18"/>
      <color rgb="FF1F6F6B"/>
      <name val="Arial"/>
      <family val="0"/>
      <charset val="1"/>
    </font>
    <font>
      <b val="true"/>
      <sz val="10"/>
      <name val="Arial"/>
      <family val="0"/>
      <charset val="1"/>
    </font>
    <font>
      <sz val="10"/>
      <name val="Arial"/>
      <family val="0"/>
      <charset val="1"/>
    </font>
    <font>
      <sz val="10"/>
      <color rgb="FF555555"/>
      <name val="Arial"/>
      <family val="0"/>
      <charset val="1"/>
    </font>
    <font>
      <b val="true"/>
      <sz val="11"/>
      <color rgb="FFFFFFFF"/>
      <name val="Arial"/>
      <family val="0"/>
      <charset val="1"/>
    </font>
    <font>
      <b val="true"/>
      <sz val="10"/>
      <color rgb="FF222222"/>
      <name val="Arial"/>
      <family val="0"/>
      <charset val="1"/>
    </font>
    <font>
      <b val="true"/>
      <sz val="12"/>
      <color rgb="FF0000FF"/>
      <name val="Arial"/>
      <family val="0"/>
      <charset val="1"/>
    </font>
    <font>
      <i val="true"/>
      <sz val="8"/>
      <color rgb="FF777777"/>
      <name val="Arial"/>
      <family val="0"/>
      <charset val="1"/>
    </font>
    <font>
      <b val="true"/>
      <sz val="11"/>
      <color rgb="FFFBD567"/>
      <name val="Arial"/>
      <family val="0"/>
      <charset val="1"/>
    </font>
    <font>
      <b val="true"/>
      <sz val="9"/>
      <color rgb="FFFFFFFF"/>
      <name val="Arial"/>
      <family val="0"/>
      <charset val="1"/>
    </font>
    <font>
      <sz val="9"/>
      <color rgb="FF222222"/>
      <name val="Arial"/>
      <family val="0"/>
      <charset val="1"/>
    </font>
    <font>
      <sz val="8"/>
      <color rgb="FFAAAAAA"/>
      <name val="Arial"/>
      <family val="0"/>
      <charset val="1"/>
    </font>
    <font>
      <b val="true"/>
      <sz val="8"/>
      <color rgb="FF999999"/>
      <name val="Arial"/>
      <family val="0"/>
      <charset val="1"/>
    </font>
    <font>
      <sz val="9"/>
      <color rgb="FF1A1A1A"/>
      <name val="Consolas"/>
      <family val="0"/>
      <charset val="1"/>
    </font>
    <font>
      <b val="true"/>
      <sz val="16"/>
      <color rgb="FFFBD567"/>
      <name val="Arial"/>
      <family val="0"/>
      <charset val="1"/>
    </font>
    <font>
      <b val="true"/>
      <sz val="10"/>
      <color rgb="FFFFFFFF"/>
      <name val="Arial"/>
      <family val="0"/>
      <charset val="1"/>
    </font>
    <font>
      <sz val="10"/>
      <color rgb="FF222222"/>
      <name val="Arial"/>
      <family val="0"/>
      <charset val="1"/>
    </font>
    <font>
      <sz val="9"/>
      <color rgb="FF777777"/>
      <name val="Arial"/>
      <family val="0"/>
      <charset val="1"/>
    </font>
    <font>
      <sz val="10"/>
      <color rgb="FF0000FF"/>
      <name val="Arial"/>
      <family val="0"/>
      <charset val="1"/>
    </font>
    <font>
      <b val="true"/>
      <sz val="9"/>
      <color rgb="FF1F6F1F"/>
      <name val="Arial"/>
      <family val="0"/>
      <charset val="1"/>
    </font>
    <font>
      <sz val="10"/>
      <name val="Arial"/>
      <family val="2"/>
    </font>
  </fonts>
  <fills count="18">
    <fill>
      <patternFill patternType="none"/>
    </fill>
    <fill>
      <patternFill patternType="gray125"/>
    </fill>
    <fill>
      <patternFill patternType="solid">
        <fgColor rgb="FF1A1A1A"/>
        <bgColor rgb="FF222222"/>
      </patternFill>
    </fill>
    <fill>
      <patternFill patternType="solid">
        <fgColor rgb="FFF2F7F6"/>
        <bgColor rgb="FFF7F9FA"/>
      </patternFill>
    </fill>
    <fill>
      <patternFill patternType="solid">
        <fgColor rgb="FF2E2E2E"/>
        <bgColor rgb="FF222222"/>
      </patternFill>
    </fill>
    <fill>
      <patternFill patternType="solid">
        <fgColor rgb="FFFFF4C2"/>
        <bgColor rgb="FFFFF4D6"/>
      </patternFill>
    </fill>
    <fill>
      <patternFill patternType="solid">
        <fgColor rgb="FFF7F9FA"/>
        <bgColor rgb="FFF2F7F6"/>
      </patternFill>
    </fill>
    <fill>
      <patternFill patternType="solid">
        <fgColor rgb="FFFFF4D6"/>
        <bgColor rgb="FFFFF4C2"/>
      </patternFill>
    </fill>
    <fill>
      <patternFill patternType="solid">
        <fgColor rgb="FFD9ECEA"/>
        <bgColor rgb="FFDCE6F2"/>
      </patternFill>
    </fill>
    <fill>
      <patternFill patternType="solid">
        <fgColor rgb="FFEFEFEF"/>
        <bgColor rgb="FFE6F2E6"/>
      </patternFill>
    </fill>
    <fill>
      <patternFill patternType="solid">
        <fgColor rgb="FFE8F5E9"/>
        <bgColor rgb="FFE6F2E6"/>
      </patternFill>
    </fill>
    <fill>
      <patternFill patternType="solid">
        <fgColor rgb="FFFCE4E4"/>
        <bgColor rgb="FFFDE9E9"/>
      </patternFill>
    </fill>
    <fill>
      <patternFill patternType="solid">
        <fgColor rgb="FFE6E2F3"/>
        <bgColor rgb="FFDCE6F2"/>
      </patternFill>
    </fill>
    <fill>
      <patternFill patternType="solid">
        <fgColor rgb="FFE6F2E6"/>
        <bgColor rgb="FFE8F5E9"/>
      </patternFill>
    </fill>
    <fill>
      <patternFill patternType="solid">
        <fgColor rgb="FFF4E4D7"/>
        <bgColor rgb="FFFCE4E4"/>
      </patternFill>
    </fill>
    <fill>
      <patternFill patternType="solid">
        <fgColor rgb="FFFDE9E9"/>
        <bgColor rgb="FFFCE4E4"/>
      </patternFill>
    </fill>
    <fill>
      <patternFill patternType="solid">
        <fgColor rgb="FFDCE6F2"/>
        <bgColor rgb="FFD9ECEA"/>
      </patternFill>
    </fill>
    <fill>
      <patternFill patternType="solid">
        <fgColor rgb="FFE7EBDA"/>
        <bgColor rgb="FFE6F2E6"/>
      </patternFill>
    </fill>
  </fills>
  <borders count="3">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5" fontId="8" fillId="3" borderId="0"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5" borderId="1"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2" borderId="0" xfId="0" applyFont="true" applyBorder="false" applyAlignment="fals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center" vertical="center" textRotation="0" wrapText="true" indent="0" shrinkToFit="false"/>
      <protection locked="true" hidden="false"/>
    </xf>
    <xf numFmtId="165" fontId="18" fillId="6" borderId="0" xfId="0" applyFont="true" applyBorder="false" applyAlignment="true" applyProtection="false">
      <alignment horizontal="general" vertical="center" textRotation="0" wrapText="true" indent="0" shrinkToFit="false"/>
      <protection locked="true" hidden="false"/>
    </xf>
    <xf numFmtId="164" fontId="18" fillId="6" borderId="0" xfId="0" applyFont="true" applyBorder="false" applyAlignment="true" applyProtection="false">
      <alignment horizontal="center" vertical="center"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5" fontId="18" fillId="0" borderId="0" xfId="0" applyFont="true" applyBorder="false" applyAlignment="true" applyProtection="false">
      <alignment horizontal="general" vertical="center" textRotation="0" wrapText="true" indent="0" shrinkToFit="false"/>
      <protection locked="true" hidden="false"/>
    </xf>
    <xf numFmtId="164" fontId="18" fillId="0" borderId="0" xfId="0" applyFont="true" applyBorder="false" applyAlignment="true" applyProtection="false">
      <alignment horizontal="center" vertical="center"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17" fillId="2" borderId="0" xfId="0" applyFont="true" applyBorder="false" applyAlignment="true" applyProtection="false">
      <alignment horizontal="general" vertical="center" textRotation="0" wrapText="true" indent="0" shrinkToFit="false"/>
      <protection locked="true" hidden="false"/>
    </xf>
    <xf numFmtId="164" fontId="18" fillId="0"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21" fillId="0" borderId="2" xfId="0" applyFont="true" applyBorder="true" applyAlignment="true" applyProtection="false">
      <alignment horizontal="general" vertical="top" textRotation="0" wrapText="true" indent="0" shrinkToFit="false"/>
      <protection locked="true" hidden="false"/>
    </xf>
    <xf numFmtId="164" fontId="18" fillId="7" borderId="2" xfId="0" applyFont="true" applyBorder="true" applyAlignment="true" applyProtection="false">
      <alignment horizontal="general" vertical="top" textRotation="0" wrapText="true" indent="0" shrinkToFit="false"/>
      <protection locked="true" hidden="false"/>
    </xf>
    <xf numFmtId="165" fontId="18" fillId="0" borderId="2" xfId="0" applyFont="true" applyBorder="true" applyAlignment="true" applyProtection="false">
      <alignment horizontal="center" vertical="top" textRotation="0" wrapText="false" indent="0" shrinkToFit="false"/>
      <protection locked="true" hidden="false"/>
    </xf>
    <xf numFmtId="164" fontId="22" fillId="2" borderId="0" xfId="0" applyFont="true" applyBorder="true" applyAlignment="true" applyProtection="false">
      <alignment horizontal="left" vertical="center" textRotation="0" wrapText="false" indent="0" shrinkToFit="false"/>
      <protection locked="true" hidden="false"/>
    </xf>
    <xf numFmtId="164" fontId="23" fillId="2" borderId="2" xfId="0" applyFont="true" applyBorder="true" applyAlignment="true" applyProtection="false">
      <alignment horizontal="center" vertical="center" textRotation="0" wrapText="true" indent="0" shrinkToFit="false"/>
      <protection locked="true" hidden="false"/>
    </xf>
    <xf numFmtId="164" fontId="13" fillId="8" borderId="2" xfId="0" applyFont="true" applyBorder="true" applyAlignment="true" applyProtection="false">
      <alignment horizontal="left" vertical="top" textRotation="0" wrapText="true" indent="0" shrinkToFit="false"/>
      <protection locked="true" hidden="false"/>
    </xf>
    <xf numFmtId="164" fontId="24" fillId="8" borderId="2" xfId="0" applyFont="true" applyBorder="true" applyAlignment="true" applyProtection="false">
      <alignment horizontal="left" vertical="top" textRotation="0" wrapText="true" indent="0" shrinkToFit="false"/>
      <protection locked="true" hidden="false"/>
    </xf>
    <xf numFmtId="165" fontId="0" fillId="0" borderId="2" xfId="0" applyFont="true" applyBorder="true" applyAlignment="true" applyProtection="false">
      <alignment horizontal="center" vertical="top" textRotation="0" wrapText="true" indent="0" shrinkToFit="false"/>
      <protection locked="true" hidden="false"/>
    </xf>
    <xf numFmtId="164" fontId="24" fillId="0" borderId="2" xfId="0" applyFont="true" applyBorder="true" applyAlignment="true" applyProtection="false">
      <alignment horizontal="center" vertical="top" textRotation="0" wrapText="true" indent="0" shrinkToFit="false"/>
      <protection locked="true" hidden="false"/>
    </xf>
    <xf numFmtId="164" fontId="24" fillId="0" borderId="2" xfId="0" applyFont="true" applyBorder="true" applyAlignment="true" applyProtection="false">
      <alignment horizontal="left" vertical="top" textRotation="0" wrapText="true" indent="0" shrinkToFit="false"/>
      <protection locked="true" hidden="false"/>
    </xf>
    <xf numFmtId="164" fontId="25" fillId="0" borderId="2" xfId="0" applyFont="true" applyBorder="true" applyAlignment="true" applyProtection="false">
      <alignment horizontal="center" vertical="top" textRotation="0" wrapText="true" indent="0" shrinkToFit="false"/>
      <protection locked="true" hidden="false"/>
    </xf>
    <xf numFmtId="164" fontId="26" fillId="0" borderId="2" xfId="0" applyFont="true" applyBorder="true" applyAlignment="true" applyProtection="false">
      <alignment horizontal="center" vertical="top" textRotation="0" wrapText="true" indent="0" shrinkToFit="false"/>
      <protection locked="true" hidden="false"/>
    </xf>
    <xf numFmtId="165" fontId="24" fillId="0" borderId="2" xfId="0" applyFont="true" applyBorder="true" applyAlignment="true" applyProtection="false">
      <alignment horizontal="center" vertical="top" textRotation="0" wrapText="tru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24" fillId="9" borderId="0" xfId="0" applyFont="true" applyBorder="false" applyAlignment="true" applyProtection="false">
      <alignment horizontal="general" vertical="top" textRotation="0" wrapText="true" indent="0" shrinkToFit="false"/>
      <protection locked="true" hidden="false"/>
    </xf>
    <xf numFmtId="164" fontId="24" fillId="0" borderId="0" xfId="0" applyFont="true" applyBorder="false" applyAlignment="true" applyProtection="false">
      <alignment horizontal="general" vertical="top" textRotation="0" wrapText="true" indent="0" shrinkToFit="false"/>
      <protection locked="true" hidden="false"/>
    </xf>
    <xf numFmtId="164" fontId="27" fillId="10" borderId="2" xfId="0" applyFont="true" applyBorder="true" applyAlignment="true" applyProtection="false">
      <alignment horizontal="center" vertical="top" textRotation="0" wrapText="true" indent="0" shrinkToFit="false"/>
      <protection locked="true" hidden="false"/>
    </xf>
    <xf numFmtId="164" fontId="24" fillId="11" borderId="0" xfId="0" applyFont="true" applyBorder="false" applyAlignment="true" applyProtection="false">
      <alignment horizontal="general" vertical="top" textRotation="0" wrapText="true" indent="0" shrinkToFit="false"/>
      <protection locked="true" hidden="false"/>
    </xf>
    <xf numFmtId="164" fontId="13" fillId="12" borderId="2" xfId="0" applyFont="true" applyBorder="true" applyAlignment="true" applyProtection="false">
      <alignment horizontal="left" vertical="top" textRotation="0" wrapText="true" indent="0" shrinkToFit="false"/>
      <protection locked="true" hidden="false"/>
    </xf>
    <xf numFmtId="164" fontId="24" fillId="12" borderId="2" xfId="0" applyFont="true" applyBorder="true" applyAlignment="true" applyProtection="false">
      <alignment horizontal="left" vertical="top" textRotation="0" wrapText="true" indent="0" shrinkToFit="false"/>
      <protection locked="true" hidden="false"/>
    </xf>
    <xf numFmtId="164" fontId="24" fillId="13" borderId="0" xfId="0" applyFont="true" applyBorder="false" applyAlignment="true" applyProtection="false">
      <alignment horizontal="general" vertical="top" textRotation="0" wrapText="true" indent="0" shrinkToFit="false"/>
      <protection locked="true" hidden="false"/>
    </xf>
    <xf numFmtId="164" fontId="13" fillId="14" borderId="2" xfId="0" applyFont="true" applyBorder="true" applyAlignment="true" applyProtection="false">
      <alignment horizontal="left" vertical="top" textRotation="0" wrapText="true" indent="0" shrinkToFit="false"/>
      <protection locked="true" hidden="false"/>
    </xf>
    <xf numFmtId="164" fontId="24" fillId="14" borderId="2" xfId="0" applyFont="true" applyBorder="true" applyAlignment="true" applyProtection="false">
      <alignment horizontal="left" vertical="top" textRotation="0" wrapText="true" indent="0" shrinkToFit="false"/>
      <protection locked="true" hidden="false"/>
    </xf>
    <xf numFmtId="164" fontId="18" fillId="15" borderId="0" xfId="0" applyFont="true" applyBorder="false" applyAlignment="true" applyProtection="false">
      <alignment horizontal="general" vertical="top" textRotation="0" wrapText="true" indent="0" shrinkToFit="false"/>
      <protection locked="true" hidden="false"/>
    </xf>
    <xf numFmtId="164" fontId="24" fillId="15" borderId="0" xfId="0" applyFont="true" applyBorder="false" applyAlignment="true" applyProtection="false">
      <alignment horizontal="general" vertical="top" textRotation="0" wrapText="true" indent="0" shrinkToFit="false"/>
      <protection locked="true" hidden="false"/>
    </xf>
    <xf numFmtId="164" fontId="24" fillId="7" borderId="0" xfId="0" applyFont="true" applyBorder="false" applyAlignment="true" applyProtection="false">
      <alignment horizontal="general" vertical="top" textRotation="0" wrapText="true" indent="0" shrinkToFit="false"/>
      <protection locked="true" hidden="false"/>
    </xf>
    <xf numFmtId="164" fontId="13" fillId="16" borderId="2" xfId="0" applyFont="true" applyBorder="true" applyAlignment="true" applyProtection="false">
      <alignment horizontal="left" vertical="top" textRotation="0" wrapText="true" indent="0" shrinkToFit="false"/>
      <protection locked="true" hidden="false"/>
    </xf>
    <xf numFmtId="164" fontId="24" fillId="16" borderId="2" xfId="0" applyFont="true" applyBorder="true" applyAlignment="true" applyProtection="false">
      <alignment horizontal="left" vertical="top" textRotation="0" wrapText="true" indent="0" shrinkToFit="false"/>
      <protection locked="true" hidden="false"/>
    </xf>
    <xf numFmtId="164" fontId="13" fillId="17" borderId="2" xfId="0" applyFont="true" applyBorder="true" applyAlignment="true" applyProtection="false">
      <alignment horizontal="left" vertical="top" textRotation="0" wrapText="true" indent="0" shrinkToFit="false"/>
      <protection locked="true" hidden="false"/>
    </xf>
    <xf numFmtId="164" fontId="24" fillId="17" borderId="2" xfId="0" applyFont="true" applyBorder="true" applyAlignment="true" applyProtection="false">
      <alignment horizontal="left" vertical="top" textRotation="0" wrapText="tru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17" fillId="2" borderId="0" xfId="0" applyFont="true" applyBorder="fals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94">
    <dxf>
      <fill>
        <patternFill patternType="solid">
          <fgColor rgb="FF1A1A1A"/>
          <bgColor rgb="FF000000"/>
        </patternFill>
      </fill>
    </dxf>
    <dxf>
      <fill>
        <patternFill patternType="solid">
          <bgColor rgb="FF000000"/>
        </patternFill>
      </fill>
    </dxf>
    <dxf>
      <fill>
        <patternFill patternType="solid">
          <fgColor rgb="FF222222"/>
          <bgColor rgb="FF000000"/>
        </patternFill>
      </fill>
    </dxf>
    <dxf>
      <fill>
        <patternFill patternType="solid">
          <fgColor rgb="FFFFFFFF"/>
          <bgColor rgb="FF000000"/>
        </patternFill>
      </fill>
    </dxf>
    <dxf>
      <fill>
        <patternFill patternType="solid">
          <fgColor rgb="FFFFF4D6"/>
          <bgColor rgb="FF000000"/>
        </patternFill>
      </fill>
    </dxf>
    <dxf>
      <fill>
        <patternFill patternType="solid">
          <fgColor rgb="FFD9ECEA"/>
          <bgColor rgb="FF000000"/>
        </patternFill>
      </fill>
    </dxf>
    <dxf>
      <fill>
        <patternFill patternType="solid">
          <fgColor rgb="FFDCE6F2"/>
          <bgColor rgb="FF000000"/>
        </patternFill>
      </fill>
    </dxf>
    <dxf>
      <fill>
        <patternFill patternType="solid">
          <fgColor rgb="FFE6E2F3"/>
          <bgColor rgb="FF000000"/>
        </patternFill>
      </fill>
    </dxf>
    <dxf>
      <fill>
        <patternFill patternType="solid">
          <fgColor rgb="FFE7EBDA"/>
          <bgColor rgb="FF000000"/>
        </patternFill>
      </fill>
    </dxf>
    <dxf>
      <fill>
        <patternFill patternType="solid">
          <fgColor rgb="FFF4E4D7"/>
          <bgColor rgb="FF000000"/>
        </patternFill>
      </fill>
    </dxf>
    <dxf>
      <fill>
        <patternFill patternType="solid">
          <fgColor rgb="FF000000"/>
          <bgColor rgb="FF000000"/>
        </patternFill>
      </fill>
    </dxf>
    <dxf>
      <fill>
        <patternFill patternType="solid">
          <fgColor rgb="FFE8F5E9"/>
          <bgColor rgb="FF000000"/>
        </patternFill>
      </fill>
    </dxf>
    <dxf>
      <fill>
        <patternFill patternType="solid">
          <fgColor rgb="FF1F6F1F"/>
          <bgColor rgb="FF000000"/>
        </patternFill>
      </fill>
    </dxf>
    <dxf>
      <fill>
        <patternFill patternType="solid">
          <fgColor rgb="FF777777"/>
          <bgColor rgb="FF000000"/>
        </patternFill>
      </fill>
    </dxf>
    <dxf>
      <fill>
        <patternFill patternType="solid">
          <fgColor rgb="FF63BE7B"/>
          <bgColor rgb="FF000000"/>
        </patternFill>
      </fill>
    </dxf>
    <dxf>
      <fill>
        <patternFill patternType="solid">
          <fgColor rgb="FFB1D580"/>
          <bgColor rgb="FF000000"/>
        </patternFill>
      </fill>
    </dxf>
    <dxf>
      <fill>
        <patternFill patternType="solid">
          <fgColor rgb="FFFBAA77"/>
          <bgColor rgb="FF000000"/>
        </patternFill>
      </fill>
    </dxf>
    <dxf>
      <fill>
        <patternFill patternType="solid">
          <fgColor rgb="FFFFEB84"/>
          <bgColor rgb="FF000000"/>
        </patternFill>
      </fill>
    </dxf>
    <dxf>
      <fill>
        <patternFill patternType="solid">
          <fgColor rgb="FF8BC97D"/>
          <bgColor rgb="FF000000"/>
        </patternFill>
      </fill>
    </dxf>
    <dxf>
      <fill>
        <patternFill patternType="solid">
          <fgColor rgb="FF8DCA7D"/>
          <bgColor rgb="FF000000"/>
        </patternFill>
      </fill>
    </dxf>
    <dxf>
      <fill>
        <patternFill patternType="solid">
          <fgColor rgb="FF95CC7D"/>
          <bgColor rgb="FF000000"/>
        </patternFill>
      </fill>
    </dxf>
    <dxf>
      <fill>
        <patternFill patternType="solid">
          <fgColor rgb="FF98CD7E"/>
          <bgColor rgb="FF000000"/>
        </patternFill>
      </fill>
    </dxf>
    <dxf>
      <fill>
        <patternFill patternType="solid">
          <fgColor rgb="FF99CD7E"/>
          <bgColor rgb="FF000000"/>
        </patternFill>
      </fill>
    </dxf>
    <dxf>
      <fill>
        <patternFill patternType="solid">
          <fgColor rgb="FF9BCE7E"/>
          <bgColor rgb="FF000000"/>
        </patternFill>
      </fill>
    </dxf>
    <dxf>
      <fill>
        <patternFill patternType="solid">
          <fgColor rgb="FFA1CF7E"/>
          <bgColor rgb="FF000000"/>
        </patternFill>
      </fill>
    </dxf>
    <dxf>
      <fill>
        <patternFill patternType="solid">
          <fgColor rgb="FFA3D07E"/>
          <bgColor rgb="FF000000"/>
        </patternFill>
      </fill>
    </dxf>
    <dxf>
      <fill>
        <patternFill patternType="solid">
          <fgColor rgb="FFA4D07E"/>
          <bgColor rgb="FF000000"/>
        </patternFill>
      </fill>
    </dxf>
    <dxf>
      <fill>
        <patternFill patternType="solid">
          <fgColor rgb="FFA6D17E"/>
          <bgColor rgb="FF000000"/>
        </patternFill>
      </fill>
    </dxf>
    <dxf>
      <fill>
        <patternFill patternType="solid">
          <fgColor rgb="FFA9D27F"/>
          <bgColor rgb="FF000000"/>
        </patternFill>
      </fill>
    </dxf>
    <dxf>
      <fill>
        <patternFill patternType="solid">
          <fgColor rgb="FFACD37F"/>
          <bgColor rgb="FF000000"/>
        </patternFill>
      </fill>
    </dxf>
    <dxf>
      <fill>
        <patternFill patternType="solid">
          <fgColor rgb="FFB1D47F"/>
          <bgColor rgb="FF000000"/>
        </patternFill>
      </fill>
    </dxf>
    <dxf>
      <fill>
        <patternFill patternType="solid">
          <fgColor rgb="FFB7D67F"/>
          <bgColor rgb="FF000000"/>
        </patternFill>
      </fill>
    </dxf>
    <dxf>
      <fill>
        <patternFill patternType="solid">
          <fgColor rgb="FFC1D980"/>
          <bgColor rgb="FF000000"/>
        </patternFill>
      </fill>
    </dxf>
    <dxf>
      <fill>
        <patternFill patternType="solid">
          <fgColor rgb="FFC3D980"/>
          <bgColor rgb="FF000000"/>
        </patternFill>
      </fill>
    </dxf>
    <dxf>
      <fill>
        <patternFill patternType="solid">
          <fgColor rgb="FFCADB80"/>
          <bgColor rgb="FF000000"/>
        </patternFill>
      </fill>
    </dxf>
    <dxf>
      <fill>
        <patternFill patternType="solid">
          <fgColor rgb="FFCBDC81"/>
          <bgColor rgb="FF000000"/>
        </patternFill>
      </fill>
    </dxf>
    <dxf>
      <fill>
        <patternFill patternType="solid">
          <fgColor rgb="FFCCDC81"/>
          <bgColor rgb="FF000000"/>
        </patternFill>
      </fill>
    </dxf>
    <dxf>
      <fill>
        <patternFill patternType="solid">
          <fgColor rgb="FFCFDD81"/>
          <bgColor rgb="FF000000"/>
        </patternFill>
      </fill>
    </dxf>
    <dxf>
      <fill>
        <patternFill patternType="solid">
          <fgColor rgb="FFD1DD81"/>
          <bgColor rgb="FF000000"/>
        </patternFill>
      </fill>
    </dxf>
    <dxf>
      <fill>
        <patternFill patternType="solid">
          <fgColor rgb="FFD4DE81"/>
          <bgColor rgb="FF000000"/>
        </patternFill>
      </fill>
    </dxf>
    <dxf>
      <fill>
        <patternFill patternType="solid">
          <fgColor rgb="FFD7DF81"/>
          <bgColor rgb="FF000000"/>
        </patternFill>
      </fill>
    </dxf>
    <dxf>
      <fill>
        <patternFill patternType="solid">
          <fgColor rgb="FFD9E081"/>
          <bgColor rgb="FF000000"/>
        </patternFill>
      </fill>
    </dxf>
    <dxf>
      <fill>
        <patternFill patternType="solid">
          <fgColor rgb="FFDAE081"/>
          <bgColor rgb="FF000000"/>
        </patternFill>
      </fill>
    </dxf>
    <dxf>
      <fill>
        <patternFill patternType="solid">
          <fgColor rgb="FFDBE081"/>
          <bgColor rgb="FF000000"/>
        </patternFill>
      </fill>
    </dxf>
    <dxf>
      <fill>
        <patternFill patternType="solid">
          <fgColor rgb="FFDCE182"/>
          <bgColor rgb="FF000000"/>
        </patternFill>
      </fill>
    </dxf>
    <dxf>
      <fill>
        <patternFill patternType="solid">
          <fgColor rgb="FFDDE182"/>
          <bgColor rgb="FF000000"/>
        </patternFill>
      </fill>
    </dxf>
    <dxf>
      <fill>
        <patternFill patternType="solid">
          <fgColor rgb="FFDFE182"/>
          <bgColor rgb="FF000000"/>
        </patternFill>
      </fill>
    </dxf>
    <dxf>
      <fill>
        <patternFill patternType="solid">
          <fgColor rgb="FFE2E282"/>
          <bgColor rgb="FF000000"/>
        </patternFill>
      </fill>
    </dxf>
    <dxf>
      <fill>
        <patternFill patternType="solid">
          <fgColor rgb="FFE5E382"/>
          <bgColor rgb="FF000000"/>
        </patternFill>
      </fill>
    </dxf>
    <dxf>
      <fill>
        <patternFill patternType="solid">
          <fgColor rgb="FFE7E482"/>
          <bgColor rgb="FF000000"/>
        </patternFill>
      </fill>
    </dxf>
    <dxf>
      <fill>
        <patternFill patternType="solid">
          <fgColor rgb="FFEAE582"/>
          <bgColor rgb="FF000000"/>
        </patternFill>
      </fill>
    </dxf>
    <dxf>
      <fill>
        <patternFill patternType="solid">
          <fgColor rgb="FFEDE582"/>
          <bgColor rgb="FF000000"/>
        </patternFill>
      </fill>
    </dxf>
    <dxf>
      <fill>
        <patternFill patternType="solid">
          <fgColor rgb="FFEFE683"/>
          <bgColor rgb="FF000000"/>
        </patternFill>
      </fill>
    </dxf>
    <dxf>
      <fill>
        <patternFill patternType="solid">
          <fgColor rgb="FFF0E683"/>
          <bgColor rgb="FF000000"/>
        </patternFill>
      </fill>
    </dxf>
    <dxf>
      <fill>
        <patternFill patternType="solid">
          <fgColor rgb="FFF3E783"/>
          <bgColor rgb="FF000000"/>
        </patternFill>
      </fill>
    </dxf>
    <dxf>
      <fill>
        <patternFill patternType="solid">
          <fgColor rgb="FFF4E783"/>
          <bgColor rgb="FF000000"/>
        </patternFill>
      </fill>
    </dxf>
    <dxf>
      <fill>
        <patternFill patternType="solid">
          <fgColor rgb="FFF8696B"/>
          <bgColor rgb="FF000000"/>
        </patternFill>
      </fill>
    </dxf>
    <dxf>
      <fill>
        <patternFill patternType="solid">
          <fgColor rgb="FFF8E983"/>
          <bgColor rgb="FF000000"/>
        </patternFill>
      </fill>
    </dxf>
    <dxf>
      <fill>
        <patternFill patternType="solid">
          <fgColor rgb="FFF96A6C"/>
          <bgColor rgb="FF000000"/>
        </patternFill>
      </fill>
    </dxf>
    <dxf>
      <fill>
        <patternFill patternType="solid">
          <fgColor rgb="FFF96F6C"/>
          <bgColor rgb="FF000000"/>
        </patternFill>
      </fill>
    </dxf>
    <dxf>
      <fill>
        <patternFill patternType="solid">
          <fgColor rgb="FFF9726D"/>
          <bgColor rgb="FF000000"/>
        </patternFill>
      </fill>
    </dxf>
    <dxf>
      <fill>
        <patternFill patternType="solid">
          <fgColor rgb="FFF97A6F"/>
          <bgColor rgb="FF000000"/>
        </patternFill>
      </fill>
    </dxf>
    <dxf>
      <fill>
        <patternFill patternType="solid">
          <fgColor rgb="FFF9E983"/>
          <bgColor rgb="FF000000"/>
        </patternFill>
      </fill>
    </dxf>
    <dxf>
      <fill>
        <patternFill patternType="solid">
          <fgColor rgb="FFFA7C6F"/>
          <bgColor rgb="FF000000"/>
        </patternFill>
      </fill>
    </dxf>
    <dxf>
      <fill>
        <patternFill patternType="solid">
          <fgColor rgb="FFFA8070"/>
          <bgColor rgb="FF000000"/>
        </patternFill>
      </fill>
    </dxf>
    <dxf>
      <fill>
        <patternFill patternType="solid">
          <fgColor rgb="FFFA8471"/>
          <bgColor rgb="FF000000"/>
        </patternFill>
      </fill>
    </dxf>
    <dxf>
      <fill>
        <patternFill patternType="solid">
          <fgColor rgb="FFFA8771"/>
          <bgColor rgb="FF000000"/>
        </patternFill>
      </fill>
    </dxf>
    <dxf>
      <fill>
        <patternFill patternType="solid">
          <fgColor rgb="FFFA8871"/>
          <bgColor rgb="FF000000"/>
        </patternFill>
      </fill>
    </dxf>
    <dxf>
      <fill>
        <patternFill patternType="solid">
          <fgColor rgb="FFFA8971"/>
          <bgColor rgb="FF000000"/>
        </patternFill>
      </fill>
    </dxf>
    <dxf>
      <fill>
        <patternFill patternType="solid">
          <fgColor rgb="FFFA8A72"/>
          <bgColor rgb="FF000000"/>
        </patternFill>
      </fill>
    </dxf>
    <dxf>
      <fill>
        <patternFill patternType="solid">
          <fgColor rgb="FFFA8B72"/>
          <bgColor rgb="FF000000"/>
        </patternFill>
      </fill>
    </dxf>
    <dxf>
      <fill>
        <patternFill patternType="solid">
          <fgColor rgb="FFFB9975"/>
          <bgColor rgb="FF000000"/>
        </patternFill>
      </fill>
    </dxf>
    <dxf>
      <fill>
        <patternFill patternType="solid">
          <fgColor rgb="FFFB9D75"/>
          <bgColor rgb="FF000000"/>
        </patternFill>
      </fill>
    </dxf>
    <dxf>
      <fill>
        <patternFill patternType="solid">
          <fgColor rgb="FFFB9E76"/>
          <bgColor rgb="FF000000"/>
        </patternFill>
      </fill>
    </dxf>
    <dxf>
      <fill>
        <patternFill patternType="solid">
          <fgColor rgb="FFFBE983"/>
          <bgColor rgb="FF000000"/>
        </patternFill>
      </fill>
    </dxf>
    <dxf>
      <fill>
        <patternFill patternType="solid">
          <fgColor rgb="FFFBEA83"/>
          <bgColor rgb="FF000000"/>
        </patternFill>
      </fill>
    </dxf>
    <dxf>
      <fill>
        <patternFill patternType="solid">
          <fgColor rgb="FFFCA276"/>
          <bgColor rgb="FF000000"/>
        </patternFill>
      </fill>
    </dxf>
    <dxf>
      <fill>
        <patternFill patternType="solid">
          <fgColor rgb="FFFCA477"/>
          <bgColor rgb="FF000000"/>
        </patternFill>
      </fill>
    </dxf>
    <dxf>
      <fill>
        <patternFill patternType="solid">
          <fgColor rgb="FFFCA877"/>
          <bgColor rgb="FF000000"/>
        </patternFill>
      </fill>
    </dxf>
    <dxf>
      <fill>
        <patternFill patternType="solid">
          <fgColor rgb="FFFCAF79"/>
          <bgColor rgb="FF000000"/>
        </patternFill>
      </fill>
    </dxf>
    <dxf>
      <fill>
        <patternFill patternType="solid">
          <fgColor rgb="FFFCB079"/>
          <bgColor rgb="FF000000"/>
        </patternFill>
      </fill>
    </dxf>
    <dxf>
      <fill>
        <patternFill patternType="solid">
          <fgColor rgb="FFFCB37A"/>
          <bgColor rgb="FF000000"/>
        </patternFill>
      </fill>
    </dxf>
    <dxf>
      <fill>
        <patternFill patternType="solid">
          <fgColor rgb="FFFCEA83"/>
          <bgColor rgb="FF000000"/>
        </patternFill>
      </fill>
    </dxf>
    <dxf>
      <fill>
        <patternFill patternType="solid">
          <fgColor rgb="FFFDB87B"/>
          <bgColor rgb="FF000000"/>
        </patternFill>
      </fill>
    </dxf>
    <dxf>
      <fill>
        <patternFill patternType="solid">
          <fgColor rgb="FFFDBA7B"/>
          <bgColor rgb="FF000000"/>
        </patternFill>
      </fill>
    </dxf>
    <dxf>
      <fill>
        <patternFill patternType="solid">
          <fgColor rgb="FFFDBC7B"/>
          <bgColor rgb="FF000000"/>
        </patternFill>
      </fill>
    </dxf>
    <dxf>
      <fill>
        <patternFill patternType="solid">
          <fgColor rgb="FFFDBF7C"/>
          <bgColor rgb="FF000000"/>
        </patternFill>
      </fill>
    </dxf>
    <dxf>
      <fill>
        <patternFill patternType="solid">
          <fgColor rgb="FFFDC07C"/>
          <bgColor rgb="FF000000"/>
        </patternFill>
      </fill>
    </dxf>
    <dxf>
      <fill>
        <patternFill patternType="solid">
          <fgColor rgb="FFFDC17C"/>
          <bgColor rgb="FF000000"/>
        </patternFill>
      </fill>
    </dxf>
    <dxf>
      <fill>
        <patternFill patternType="solid">
          <fgColor rgb="FFFDC47D"/>
          <bgColor rgb="FF000000"/>
        </patternFill>
      </fill>
    </dxf>
    <dxf>
      <fill>
        <patternFill patternType="solid">
          <fgColor rgb="FFFDC67D"/>
          <bgColor rgb="FF000000"/>
        </patternFill>
      </fill>
    </dxf>
    <dxf>
      <fill>
        <patternFill patternType="solid">
          <fgColor rgb="FFFECC7E"/>
          <bgColor rgb="FF000000"/>
        </patternFill>
      </fill>
    </dxf>
    <dxf>
      <fill>
        <patternFill patternType="solid">
          <fgColor rgb="FFFECF7F"/>
          <bgColor rgb="FF000000"/>
        </patternFill>
      </fill>
    </dxf>
    <dxf>
      <fill>
        <patternFill patternType="solid">
          <fgColor rgb="FFFED280"/>
          <bgColor rgb="FF000000"/>
        </patternFill>
      </fill>
    </dxf>
    <dxf>
      <fill>
        <patternFill patternType="solid">
          <fgColor rgb="FFFED380"/>
          <bgColor rgb="FF000000"/>
        </patternFill>
      </fill>
    </dxf>
    <dxf>
      <fill>
        <patternFill patternType="solid">
          <fgColor rgb="FFFED580"/>
          <bgColor rgb="FF000000"/>
        </patternFill>
      </fill>
    </dxf>
    <dxf>
      <fill>
        <patternFill patternType="solid">
          <fgColor rgb="FFFED881"/>
          <bgColor rgb="FF000000"/>
        </patternFill>
      </fill>
    </dxf>
    <dxf>
      <fill>
        <patternFill patternType="solid">
          <fgColor rgb="FFFEEA83"/>
          <bgColor rgb="FF000000"/>
        </patternFill>
      </fill>
    </dxf>
    <dxf>
      <fill>
        <patternFill patternType="solid">
          <fgColor rgb="FFFFD981"/>
          <bgColor rgb="FF000000"/>
        </patternFill>
      </fill>
    </dxf>
    <dxf>
      <fill>
        <patternFill patternType="solid">
          <fgColor rgb="FFFFDA81"/>
          <bgColor rgb="FF000000"/>
        </patternFill>
      </fill>
    </dxf>
    <dxf>
      <fill>
        <patternFill patternType="solid">
          <fgColor rgb="FFFFDE82"/>
          <bgColor rgb="FF000000"/>
        </patternFill>
      </fill>
    </dxf>
    <dxf>
      <fill>
        <patternFill patternType="solid">
          <fgColor rgb="FFFFDF82"/>
          <bgColor rgb="FF000000"/>
        </patternFill>
      </fill>
    </dxf>
    <dxf>
      <fill>
        <patternFill patternType="solid">
          <fgColor rgb="FFFFE082"/>
          <bgColor rgb="FF000000"/>
        </patternFill>
      </fill>
    </dxf>
    <dxf>
      <fill>
        <patternFill patternType="solid">
          <fgColor rgb="FFFFE583"/>
          <bgColor rgb="FF000000"/>
        </patternFill>
      </fill>
    </dxf>
    <dxf>
      <fill>
        <patternFill patternType="solid">
          <fgColor rgb="FFFFE683"/>
          <bgColor rgb="FF000000"/>
        </patternFill>
      </fill>
    </dxf>
    <dxf>
      <fill>
        <patternFill patternType="solid">
          <fgColor rgb="FFFFEA84"/>
          <bgColor rgb="FF000000"/>
        </patternFill>
      </fill>
    </dxf>
    <dxf>
      <fill>
        <patternFill patternType="solid">
          <fgColor rgb="FF0000FF"/>
          <bgColor rgb="FF000000"/>
        </patternFill>
      </fill>
    </dxf>
    <dxf>
      <fill>
        <patternFill patternType="solid">
          <fgColor rgb="FF8CCA7E"/>
          <bgColor rgb="FF000000"/>
        </patternFill>
      </fill>
    </dxf>
    <dxf>
      <fill>
        <patternFill patternType="solid">
          <fgColor rgb="FF8ECB7E"/>
          <bgColor rgb="FF000000"/>
        </patternFill>
      </fill>
    </dxf>
    <dxf>
      <fill>
        <patternFill patternType="solid">
          <fgColor rgb="FF96CD7E"/>
          <bgColor rgb="FF000000"/>
        </patternFill>
      </fill>
    </dxf>
    <dxf>
      <fill>
        <patternFill patternType="solid">
          <fgColor rgb="FF99CE7F"/>
          <bgColor rgb="FF000000"/>
        </patternFill>
      </fill>
    </dxf>
    <dxf>
      <fill>
        <patternFill patternType="solid">
          <fgColor rgb="FF9ACE7F"/>
          <bgColor rgb="FF000000"/>
        </patternFill>
      </fill>
    </dxf>
    <dxf>
      <fill>
        <patternFill patternType="solid">
          <fgColor rgb="FF9CCF7F"/>
          <bgColor rgb="FF000000"/>
        </patternFill>
      </fill>
    </dxf>
    <dxf>
      <fill>
        <patternFill patternType="solid">
          <fgColor rgb="FFA2D07F"/>
          <bgColor rgb="FF000000"/>
        </patternFill>
      </fill>
    </dxf>
    <dxf>
      <fill>
        <patternFill patternType="solid">
          <fgColor rgb="FFA4D17F"/>
          <bgColor rgb="FF000000"/>
        </patternFill>
      </fill>
    </dxf>
    <dxf>
      <fill>
        <patternFill patternType="solid">
          <fgColor rgb="FFA5D17F"/>
          <bgColor rgb="FF000000"/>
        </patternFill>
      </fill>
    </dxf>
    <dxf>
      <fill>
        <patternFill patternType="solid">
          <fgColor rgb="FFA7D27F"/>
          <bgColor rgb="FF000000"/>
        </patternFill>
      </fill>
    </dxf>
    <dxf>
      <fill>
        <patternFill patternType="solid">
          <fgColor rgb="FFAAD380"/>
          <bgColor rgb="FF000000"/>
        </patternFill>
      </fill>
    </dxf>
    <dxf>
      <fill>
        <patternFill patternType="solid">
          <fgColor rgb="FFADD480"/>
          <bgColor rgb="FF000000"/>
        </patternFill>
      </fill>
    </dxf>
    <dxf>
      <fill>
        <patternFill patternType="solid">
          <fgColor rgb="FFB2D580"/>
          <bgColor rgb="FF000000"/>
        </patternFill>
      </fill>
    </dxf>
    <dxf>
      <fill>
        <patternFill patternType="solid">
          <fgColor rgb="FFB8D780"/>
          <bgColor rgb="FF000000"/>
        </patternFill>
      </fill>
    </dxf>
    <dxf>
      <fill>
        <patternFill patternType="solid">
          <fgColor rgb="FFC2DA81"/>
          <bgColor rgb="FF000000"/>
        </patternFill>
      </fill>
    </dxf>
    <dxf>
      <fill>
        <patternFill patternType="solid">
          <fgColor rgb="FFC4DA81"/>
          <bgColor rgb="FF000000"/>
        </patternFill>
      </fill>
    </dxf>
    <dxf>
      <fill>
        <patternFill patternType="solid">
          <fgColor rgb="FFCCDD82"/>
          <bgColor rgb="FF000000"/>
        </patternFill>
      </fill>
    </dxf>
    <dxf>
      <fill>
        <patternFill patternType="solid">
          <fgColor rgb="FFCDDD82"/>
          <bgColor rgb="FF000000"/>
        </patternFill>
      </fill>
    </dxf>
    <dxf>
      <fill>
        <patternFill patternType="solid">
          <fgColor rgb="FFD0DE82"/>
          <bgColor rgb="FF000000"/>
        </patternFill>
      </fill>
    </dxf>
    <dxf>
      <fill>
        <patternFill patternType="solid">
          <fgColor rgb="FFD2DE82"/>
          <bgColor rgb="FF000000"/>
        </patternFill>
      </fill>
    </dxf>
    <dxf>
      <fill>
        <patternFill patternType="solid">
          <fgColor rgb="FFD5DF82"/>
          <bgColor rgb="FF000000"/>
        </patternFill>
      </fill>
    </dxf>
    <dxf>
      <fill>
        <patternFill patternType="solid">
          <fgColor rgb="FFD8E082"/>
          <bgColor rgb="FF000000"/>
        </patternFill>
      </fill>
    </dxf>
    <dxf>
      <fill>
        <patternFill patternType="solid">
          <fgColor rgb="FFDAE182"/>
          <bgColor rgb="FF000000"/>
        </patternFill>
      </fill>
    </dxf>
    <dxf>
      <fill>
        <patternFill patternType="solid">
          <fgColor rgb="FFDBE182"/>
          <bgColor rgb="FF000000"/>
        </patternFill>
      </fill>
    </dxf>
    <dxf>
      <fill>
        <patternFill patternType="solid">
          <fgColor rgb="FFDDE283"/>
          <bgColor rgb="FF000000"/>
        </patternFill>
      </fill>
    </dxf>
    <dxf>
      <fill>
        <patternFill patternType="solid">
          <fgColor rgb="FFDEE283"/>
          <bgColor rgb="FF000000"/>
        </patternFill>
      </fill>
    </dxf>
    <dxf>
      <fill>
        <patternFill patternType="solid">
          <fgColor rgb="FFE0E283"/>
          <bgColor rgb="FF000000"/>
        </patternFill>
      </fill>
    </dxf>
    <dxf>
      <fill>
        <patternFill patternType="solid">
          <fgColor rgb="FFE3E383"/>
          <bgColor rgb="FF000000"/>
        </patternFill>
      </fill>
    </dxf>
    <dxf>
      <fill>
        <patternFill patternType="solid">
          <fgColor rgb="FFE6E483"/>
          <bgColor rgb="FF000000"/>
        </patternFill>
      </fill>
    </dxf>
    <dxf>
      <fill>
        <patternFill patternType="solid">
          <fgColor rgb="FFE8E583"/>
          <bgColor rgb="FF000000"/>
        </patternFill>
      </fill>
    </dxf>
    <dxf>
      <fill>
        <patternFill patternType="solid">
          <fgColor rgb="FFEBE683"/>
          <bgColor rgb="FF000000"/>
        </patternFill>
      </fill>
    </dxf>
    <dxf>
      <fill>
        <patternFill patternType="solid">
          <fgColor rgb="FFEEE683"/>
          <bgColor rgb="FF000000"/>
        </patternFill>
      </fill>
    </dxf>
    <dxf>
      <fill>
        <patternFill patternType="solid">
          <fgColor rgb="FFF0E784"/>
          <bgColor rgb="FF000000"/>
        </patternFill>
      </fill>
    </dxf>
    <dxf>
      <fill>
        <patternFill patternType="solid">
          <fgColor rgb="FFF1E784"/>
          <bgColor rgb="FF000000"/>
        </patternFill>
      </fill>
    </dxf>
    <dxf>
      <fill>
        <patternFill patternType="solid">
          <fgColor rgb="FFF4E884"/>
          <bgColor rgb="FF000000"/>
        </patternFill>
      </fill>
    </dxf>
    <dxf>
      <fill>
        <patternFill patternType="solid">
          <fgColor rgb="FFF5E884"/>
          <bgColor rgb="FF000000"/>
        </patternFill>
      </fill>
    </dxf>
    <dxf>
      <fill>
        <patternFill patternType="solid">
          <fgColor rgb="FFF86E6B"/>
          <bgColor rgb="FF000000"/>
        </patternFill>
      </fill>
    </dxf>
    <dxf>
      <fill>
        <patternFill patternType="solid">
          <fgColor rgb="FFF8716C"/>
          <bgColor rgb="FF000000"/>
        </patternFill>
      </fill>
    </dxf>
    <dxf>
      <fill>
        <patternFill patternType="solid">
          <fgColor rgb="FFF8796E"/>
          <bgColor rgb="FF000000"/>
        </patternFill>
      </fill>
    </dxf>
    <dxf>
      <fill>
        <patternFill patternType="solid">
          <fgColor rgb="FFF97B6E"/>
          <bgColor rgb="FF000000"/>
        </patternFill>
      </fill>
    </dxf>
    <dxf>
      <fill>
        <patternFill patternType="solid">
          <fgColor rgb="FFF97F6F"/>
          <bgColor rgb="FF000000"/>
        </patternFill>
      </fill>
    </dxf>
    <dxf>
      <fill>
        <patternFill patternType="solid">
          <fgColor rgb="FFF98370"/>
          <bgColor rgb="FF000000"/>
        </patternFill>
      </fill>
    </dxf>
    <dxf>
      <fill>
        <patternFill patternType="solid">
          <fgColor rgb="FFF98670"/>
          <bgColor rgb="FF000000"/>
        </patternFill>
      </fill>
    </dxf>
    <dxf>
      <fill>
        <patternFill patternType="solid">
          <fgColor rgb="FFF98770"/>
          <bgColor rgb="FF000000"/>
        </patternFill>
      </fill>
    </dxf>
    <dxf>
      <fill>
        <patternFill patternType="solid">
          <fgColor rgb="FFF98870"/>
          <bgColor rgb="FF000000"/>
        </patternFill>
      </fill>
    </dxf>
    <dxf>
      <fill>
        <patternFill patternType="solid">
          <fgColor rgb="FFF98971"/>
          <bgColor rgb="FF000000"/>
        </patternFill>
      </fill>
    </dxf>
    <dxf>
      <fill>
        <patternFill patternType="solid">
          <fgColor rgb="FFF98A71"/>
          <bgColor rgb="FF000000"/>
        </patternFill>
      </fill>
    </dxf>
    <dxf>
      <fill>
        <patternFill patternType="solid">
          <fgColor rgb="FFF9EA84"/>
          <bgColor rgb="FF000000"/>
        </patternFill>
      </fill>
    </dxf>
    <dxf>
      <fill>
        <patternFill patternType="solid">
          <fgColor rgb="FFFA9874"/>
          <bgColor rgb="FF000000"/>
        </patternFill>
      </fill>
    </dxf>
    <dxf>
      <fill>
        <patternFill patternType="solid">
          <fgColor rgb="FFFA9C74"/>
          <bgColor rgb="FF000000"/>
        </patternFill>
      </fill>
    </dxf>
    <dxf>
      <fill>
        <patternFill patternType="solid">
          <fgColor rgb="FFFA9D75"/>
          <bgColor rgb="FF000000"/>
        </patternFill>
      </fill>
    </dxf>
    <dxf>
      <fill>
        <patternFill patternType="solid">
          <fgColor rgb="FFFAEA84"/>
          <bgColor rgb="FF000000"/>
        </patternFill>
      </fill>
    </dxf>
    <dxf>
      <fill>
        <patternFill patternType="solid">
          <fgColor rgb="FFFBA175"/>
          <bgColor rgb="FF000000"/>
        </patternFill>
      </fill>
    </dxf>
    <dxf>
      <fill>
        <patternFill patternType="solid">
          <fgColor rgb="FFFBA376"/>
          <bgColor rgb="FF000000"/>
        </patternFill>
      </fill>
    </dxf>
    <dxf>
      <fill>
        <patternFill patternType="solid">
          <fgColor rgb="FFFBA776"/>
          <bgColor rgb="FF000000"/>
        </patternFill>
      </fill>
    </dxf>
    <dxf>
      <fill>
        <patternFill patternType="solid">
          <fgColor rgb="FFFBAE78"/>
          <bgColor rgb="FF000000"/>
        </patternFill>
      </fill>
    </dxf>
    <dxf>
      <fill>
        <patternFill patternType="solid">
          <fgColor rgb="FFFBAF78"/>
          <bgColor rgb="FF000000"/>
        </patternFill>
      </fill>
    </dxf>
    <dxf>
      <fill>
        <patternFill patternType="solid">
          <fgColor rgb="FFFBB279"/>
          <bgColor rgb="FF000000"/>
        </patternFill>
      </fill>
    </dxf>
    <dxf>
      <fill>
        <patternFill patternType="solid">
          <fgColor rgb="FFFCB77A"/>
          <bgColor rgb="FF000000"/>
        </patternFill>
      </fill>
    </dxf>
    <dxf>
      <fill>
        <patternFill patternType="solid">
          <fgColor rgb="FFFCB97A"/>
          <bgColor rgb="FF000000"/>
        </patternFill>
      </fill>
    </dxf>
    <dxf>
      <fill>
        <patternFill patternType="solid">
          <fgColor rgb="FFFCBB7A"/>
          <bgColor rgb="FF000000"/>
        </patternFill>
      </fill>
    </dxf>
    <dxf>
      <fill>
        <patternFill patternType="solid">
          <fgColor rgb="FFFCBE7B"/>
          <bgColor rgb="FF000000"/>
        </patternFill>
      </fill>
    </dxf>
    <dxf>
      <fill>
        <patternFill patternType="solid">
          <fgColor rgb="FFFCBF7B"/>
          <bgColor rgb="FF000000"/>
        </patternFill>
      </fill>
    </dxf>
    <dxf>
      <fill>
        <patternFill patternType="solid">
          <fgColor rgb="FFFCC07B"/>
          <bgColor rgb="FF000000"/>
        </patternFill>
      </fill>
    </dxf>
    <dxf>
      <fill>
        <patternFill patternType="solid">
          <fgColor rgb="FFFCC37C"/>
          <bgColor rgb="FF000000"/>
        </patternFill>
      </fill>
    </dxf>
    <dxf>
      <fill>
        <patternFill patternType="solid">
          <fgColor rgb="FFFCC57C"/>
          <bgColor rgb="FF000000"/>
        </patternFill>
      </fill>
    </dxf>
    <dxf>
      <fill>
        <patternFill patternType="solid">
          <fgColor rgb="FFFCEA84"/>
          <bgColor rgb="FF000000"/>
        </patternFill>
      </fill>
    </dxf>
    <dxf>
      <fill>
        <patternFill patternType="solid">
          <fgColor rgb="FFFCEB84"/>
          <bgColor rgb="FF000000"/>
        </patternFill>
      </fill>
    </dxf>
    <dxf>
      <fill>
        <patternFill patternType="solid">
          <fgColor rgb="FFFDCB7D"/>
          <bgColor rgb="FF000000"/>
        </patternFill>
      </fill>
    </dxf>
    <dxf>
      <fill>
        <patternFill patternType="solid">
          <fgColor rgb="FFFDCE7E"/>
          <bgColor rgb="FF000000"/>
        </patternFill>
      </fill>
    </dxf>
    <dxf>
      <fill>
        <patternFill patternType="solid">
          <fgColor rgb="FFFDD17F"/>
          <bgColor rgb="FF000000"/>
        </patternFill>
      </fill>
    </dxf>
    <dxf>
      <fill>
        <patternFill patternType="solid">
          <fgColor rgb="FFFDD27F"/>
          <bgColor rgb="FF000000"/>
        </patternFill>
      </fill>
    </dxf>
    <dxf>
      <fill>
        <patternFill patternType="solid">
          <fgColor rgb="FFFDD47F"/>
          <bgColor rgb="FF000000"/>
        </patternFill>
      </fill>
    </dxf>
    <dxf>
      <fill>
        <patternFill patternType="solid">
          <fgColor rgb="FFFDD780"/>
          <bgColor rgb="FF000000"/>
        </patternFill>
      </fill>
    </dxf>
    <dxf>
      <fill>
        <patternFill patternType="solid">
          <fgColor rgb="FFFDEB84"/>
          <bgColor rgb="FF000000"/>
        </patternFill>
      </fill>
    </dxf>
    <dxf>
      <fill>
        <patternFill patternType="solid">
          <fgColor rgb="FFFED880"/>
          <bgColor rgb="FF000000"/>
        </patternFill>
      </fill>
    </dxf>
    <dxf>
      <fill>
        <patternFill patternType="solid">
          <fgColor rgb="FFFED980"/>
          <bgColor rgb="FF000000"/>
        </patternFill>
      </fill>
    </dxf>
    <dxf>
      <fill>
        <patternFill patternType="solid">
          <fgColor rgb="FFFEDD81"/>
          <bgColor rgb="FF000000"/>
        </patternFill>
      </fill>
    </dxf>
    <dxf>
      <fill>
        <patternFill patternType="solid">
          <fgColor rgb="FFFEDE81"/>
          <bgColor rgb="FF000000"/>
        </patternFill>
      </fill>
    </dxf>
    <dxf>
      <fill>
        <patternFill patternType="solid">
          <fgColor rgb="FFFEDF81"/>
          <bgColor rgb="FF000000"/>
        </patternFill>
      </fill>
    </dxf>
    <dxf>
      <fill>
        <patternFill patternType="solid">
          <fgColor rgb="FFFEE482"/>
          <bgColor rgb="FF000000"/>
        </patternFill>
      </fill>
    </dxf>
    <dxf>
      <fill>
        <patternFill patternType="solid">
          <fgColor rgb="FFFEE983"/>
          <bgColor rgb="FF000000"/>
        </patternFill>
      </fill>
    </dxf>
    <dxf>
      <fill>
        <patternFill patternType="solid">
          <fgColor rgb="FF2E2E2E"/>
          <bgColor rgb="FF000000"/>
        </patternFill>
      </fill>
    </dxf>
    <dxf>
      <fill>
        <patternFill patternType="solid">
          <fgColor rgb="FFFDE9E9"/>
          <bgColor rgb="FF000000"/>
        </patternFill>
      </fill>
    </dxf>
    <dxf>
      <fill>
        <patternFill patternType="solid">
          <fgColor rgb="FFE6F2E6"/>
          <bgColor rgb="FF000000"/>
        </patternFill>
      </fill>
    </dxf>
    <dxf>
      <fill>
        <patternFill patternType="solid">
          <fgColor rgb="FFEFEFEF"/>
          <bgColor rgb="FF000000"/>
        </patternFill>
      </fill>
    </dxf>
    <dxf>
      <fill>
        <patternFill patternType="solid">
          <fgColor rgb="FFFCE4E4"/>
          <bgColor rgb="FF000000"/>
        </patternFill>
      </fill>
    </dxf>
  </dxfs>
  <colors>
    <indexedColors>
      <rgbColor rgb="FF000000"/>
      <rgbColor rgb="FFFFFFFF"/>
      <rgbColor rgb="FFFF0000"/>
      <rgbColor rgb="FF00FF00"/>
      <rgbColor rgb="FF0000FF"/>
      <rgbColor rgb="FFE7EBDA"/>
      <rgbColor rgb="FFFF00FF"/>
      <rgbColor rgb="FF00FFFF"/>
      <rgbColor rgb="FF800000"/>
      <rgbColor rgb="FF1F6F1F"/>
      <rgbColor rgb="FF000080"/>
      <rgbColor rgb="FF808000"/>
      <rgbColor rgb="FF800080"/>
      <rgbColor rgb="FF1F6F6B"/>
      <rgbColor rgb="FFBBBBBB"/>
      <rgbColor rgb="FF777777"/>
      <rgbColor rgb="FFAAAAAA"/>
      <rgbColor rgb="FF993366"/>
      <rgbColor rgb="FFFFF4C2"/>
      <rgbColor rgb="FFD9ECEA"/>
      <rgbColor rgb="FF660066"/>
      <rgbColor rgb="FFEFEFEF"/>
      <rgbColor rgb="FF0066CC"/>
      <rgbColor rgb="FFD0D0D0"/>
      <rgbColor rgb="FF000080"/>
      <rgbColor rgb="FFFF00FF"/>
      <rgbColor rgb="FFFDE9E9"/>
      <rgbColor rgb="FF00FFFF"/>
      <rgbColor rgb="FF800080"/>
      <rgbColor rgb="FF800000"/>
      <rgbColor rgb="FF008080"/>
      <rgbColor rgb="FF0000FF"/>
      <rgbColor rgb="FF00CCFF"/>
      <rgbColor rgb="FFE8F5E9"/>
      <rgbColor rgb="FFE6F2E6"/>
      <rgbColor rgb="FFFFF4D6"/>
      <rgbColor rgb="FFDCE6F2"/>
      <rgbColor rgb="FFF4E4D7"/>
      <rgbColor rgb="FFE6E2F3"/>
      <rgbColor rgb="FFFBD567"/>
      <rgbColor rgb="FF3366FF"/>
      <rgbColor rgb="FF33CCCC"/>
      <rgbColor rgb="FFF2F7F6"/>
      <rgbColor rgb="FFFCE4E4"/>
      <rgbColor rgb="FFF7F9FA"/>
      <rgbColor rgb="FFFF6600"/>
      <rgbColor rgb="FF555555"/>
      <rgbColor rgb="FF999999"/>
      <rgbColor rgb="FF003366"/>
      <rgbColor rgb="FF339966"/>
      <rgbColor rgb="FF1A1A1A"/>
      <rgbColor rgb="FF222222"/>
      <rgbColor rgb="FF993300"/>
      <rgbColor rgb="FF993366"/>
      <rgbColor rgb="FF333399"/>
      <rgbColor rgb="FF2E2E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9" activeCellId="0" sqref="A19"/>
    </sheetView>
  </sheetViews>
  <sheetFormatPr defaultColWidth="8.66796875" defaultRowHeight="12.75"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6" min="3" style="0" width="18"/>
  </cols>
  <sheetData>
    <row r="1" customFormat="false" ht="25.5" hidden="false" customHeight="true" outlineLevel="0" collapsed="false">
      <c r="A1" s="1" t="s">
        <v>0</v>
      </c>
      <c r="B1" s="1"/>
      <c r="C1" s="1"/>
      <c r="D1" s="1"/>
      <c r="E1" s="1"/>
      <c r="F1" s="1"/>
    </row>
    <row r="2" customFormat="false" ht="30" hidden="false" customHeight="true" outlineLevel="0" collapsed="false">
      <c r="A2" s="2"/>
      <c r="B2" s="2"/>
      <c r="C2" s="2"/>
      <c r="D2" s="2"/>
      <c r="E2" s="2"/>
      <c r="F2" s="2"/>
    </row>
    <row r="4" customFormat="false" ht="12.75" hidden="false" customHeight="false" outlineLevel="0" collapsed="false">
      <c r="A4" s="3" t="s">
        <v>1</v>
      </c>
      <c r="B4" s="3"/>
      <c r="C4" s="3"/>
      <c r="D4" s="3"/>
      <c r="E4" s="3"/>
      <c r="F4" s="3"/>
    </row>
    <row r="5" customFormat="false" ht="12.75" hidden="false" customHeight="false" outlineLevel="0" collapsed="false">
      <c r="A5" s="4" t="s">
        <v>2</v>
      </c>
      <c r="B5" s="4"/>
      <c r="C5" s="4" t="s">
        <v>3</v>
      </c>
      <c r="D5" s="4"/>
      <c r="E5" s="4" t="s">
        <v>4</v>
      </c>
      <c r="F5" s="4"/>
    </row>
    <row r="6" customFormat="false" ht="22.5" hidden="false" customHeight="true" outlineLevel="0" collapsed="false">
      <c r="A6" s="5" t="n">
        <f aca="false">COUNTA(Countermeasures!B4:B33)</f>
        <v>30</v>
      </c>
      <c r="B6" s="5"/>
      <c r="C6" s="5" t="n">
        <f aca="false">COUNTA(Treatments!B3:B135)</f>
        <v>133</v>
      </c>
      <c r="D6" s="5"/>
      <c r="E6" s="5" t="n">
        <f aca="false">COUNTIF(Treatments!AD3:AD135,"Yes")</f>
        <v>128</v>
      </c>
      <c r="F6" s="5"/>
    </row>
    <row r="8" customFormat="false" ht="12.75" hidden="false" customHeight="false" outlineLevel="0" collapsed="false">
      <c r="A8" s="4" t="s">
        <v>5</v>
      </c>
      <c r="B8" s="4"/>
      <c r="C8" s="4" t="s">
        <v>6</v>
      </c>
      <c r="D8" s="4"/>
      <c r="E8" s="4" t="s">
        <v>7</v>
      </c>
      <c r="F8" s="4"/>
    </row>
    <row r="9" customFormat="false" ht="22.5" hidden="false" customHeight="true" outlineLevel="0" collapsed="false">
      <c r="A9" s="5" t="n">
        <f aca="false">COUNTIF(Treatments!AD3:AD135,"No*")</f>
        <v>5</v>
      </c>
      <c r="B9" s="5"/>
      <c r="C9" s="5" t="n">
        <f aca="false">COUNTIF(Treatments!N3:N135,"&gt;=4")</f>
        <v>112</v>
      </c>
      <c r="D9" s="5"/>
      <c r="E9" s="5" t="str">
        <f aca="false">TEXT(AVERAGE(Treatments!Q3:Q135)/100,"0.0%")</f>
        <v>41.6%</v>
      </c>
      <c r="F9" s="5"/>
    </row>
    <row r="11" customFormat="false" ht="12.75" hidden="false" customHeight="false" outlineLevel="0" collapsed="false">
      <c r="A11" s="6" t="s">
        <v>8</v>
      </c>
    </row>
    <row r="12" customFormat="false" ht="12.75" hidden="false" customHeight="false" outlineLevel="0" collapsed="false">
      <c r="A12" s="7" t="s">
        <v>9</v>
      </c>
      <c r="B12" s="7" t="n">
        <f aca="false">COUNTIF(Treatments!AH3:AH135,"OK")</f>
        <v>39</v>
      </c>
      <c r="C12" s="8" t="s">
        <v>10</v>
      </c>
    </row>
    <row r="13" customFormat="false" ht="12.75" hidden="false" customHeight="false" outlineLevel="0" collapsed="false">
      <c r="A13" s="7" t="s">
        <v>11</v>
      </c>
      <c r="B13" s="7" t="n">
        <f aca="false">COUNTIF(Treatments!AH3:AH135,"Understates")</f>
        <v>57</v>
      </c>
      <c r="C13" s="8" t="s">
        <v>12</v>
      </c>
    </row>
    <row r="14" customFormat="false" ht="12.75" hidden="false" customHeight="false" outlineLevel="0" collapsed="false">
      <c r="A14" s="7" t="s">
        <v>13</v>
      </c>
      <c r="B14" s="7" t="n">
        <f aca="false">COUNTIF(Treatments!AH3:AH135,"Overstates")</f>
        <v>25</v>
      </c>
      <c r="C14" s="8" t="s">
        <v>14</v>
      </c>
    </row>
    <row r="15" customFormat="false" ht="12.75" hidden="false" customHeight="false" outlineLevel="0" collapsed="false">
      <c r="A15" s="7" t="s">
        <v>15</v>
      </c>
      <c r="B15" s="7" t="n">
        <f aca="false">COUNTIF(Treatments!AH3:AH135,"Check")</f>
        <v>7</v>
      </c>
      <c r="C15" s="8" t="s">
        <v>16</v>
      </c>
    </row>
    <row r="17" customFormat="false" ht="12.75" hidden="false" customHeight="false" outlineLevel="0" collapsed="false">
      <c r="A17" s="6" t="s">
        <v>17</v>
      </c>
    </row>
    <row r="18" customFormat="false" ht="12.75" hidden="false" customHeight="false" outlineLevel="0" collapsed="false">
      <c r="A18" s="7" t="s">
        <v>18</v>
      </c>
      <c r="B18" s="7" t="n">
        <f aca="false">SUMPRODUCT(--((Treatments!C3:C135&lt;&gt;Treatments!G3:G135)+(Treatments!D3:D135&lt;&gt;Treatments!G3:G135)+(Treatments!E3:E135&lt;&gt;Treatments!G3:G135)+(Treatments!F3:F135&lt;&gt;Treatments!G3:G135)&gt;0))</f>
        <v>45</v>
      </c>
    </row>
  </sheetData>
  <mergeCells count="15">
    <mergeCell ref="A1:F1"/>
    <mergeCell ref="A2:F2"/>
    <mergeCell ref="A4:F4"/>
    <mergeCell ref="A5:B5"/>
    <mergeCell ref="C5:D5"/>
    <mergeCell ref="E5:F5"/>
    <mergeCell ref="A6:B6"/>
    <mergeCell ref="C6:D6"/>
    <mergeCell ref="E6:F6"/>
    <mergeCell ref="A8:B8"/>
    <mergeCell ref="C8:D8"/>
    <mergeCell ref="E8:F8"/>
    <mergeCell ref="A9:B9"/>
    <mergeCell ref="C9:D9"/>
    <mergeCell ref="E9:F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67"/>
  <sheetViews>
    <sheetView showFormulas="false" showGridLines="true" showRowColHeaders="true" showZeros="true" rightToLeft="false" tabSelected="false" showOutlineSymbols="true" defaultGridColor="true" view="normal" topLeftCell="A17" colorId="64" zoomScale="100" zoomScaleNormal="100" zoomScalePageLayoutView="100" workbookViewId="0">
      <selection pane="topLeft" activeCell="B169" activeCellId="0" sqref="B169"/>
    </sheetView>
  </sheetViews>
  <sheetFormatPr defaultColWidth="8.66796875" defaultRowHeight="12.75" zeroHeight="false" outlineLevelRow="0" outlineLevelCol="0"/>
  <cols>
    <col collapsed="false" customWidth="true" hidden="false" outlineLevel="0" max="1" min="1" style="0" width="3"/>
    <col collapsed="false" customWidth="true" hidden="false" outlineLevel="0" max="2" min="2" style="0" width="24.11"/>
    <col collapsed="false" customWidth="true" hidden="false" outlineLevel="0" max="3" min="3" style="0" width="34"/>
    <col collapsed="false" customWidth="true" hidden="false" outlineLevel="0" max="4" min="4" style="0" width="30"/>
    <col collapsed="false" customWidth="true" hidden="false" outlineLevel="0" max="5" min="5" style="0" width="13"/>
    <col collapsed="false" customWidth="true" hidden="false" outlineLevel="0" max="6" min="6" style="0" width="8"/>
    <col collapsed="false" customWidth="true" hidden="false" outlineLevel="0" max="7" min="7" style="0" width="7"/>
    <col collapsed="false" customWidth="true" hidden="false" outlineLevel="0" max="8" min="8" style="0" width="28"/>
    <col collapsed="false" customWidth="true" hidden="false" outlineLevel="0" max="11" min="9" style="0" width="40"/>
    <col collapsed="false" customWidth="true" hidden="true" outlineLevel="0" max="27" min="12" style="0" width="13"/>
  </cols>
  <sheetData>
    <row r="1" customFormat="false" ht="25.5" hidden="false" customHeight="true" outlineLevel="0" collapsed="false">
      <c r="A1" s="9" t="s">
        <v>19</v>
      </c>
      <c r="B1" s="10"/>
      <c r="C1" s="10"/>
      <c r="D1" s="10"/>
      <c r="E1" s="10"/>
      <c r="F1" s="10"/>
      <c r="G1" s="10"/>
      <c r="H1" s="10"/>
      <c r="I1" s="10"/>
      <c r="J1" s="10"/>
      <c r="K1" s="10"/>
    </row>
    <row r="2" customFormat="false" ht="12.75" hidden="false" customHeight="false" outlineLevel="0" collapsed="false">
      <c r="B2" s="11"/>
    </row>
    <row r="3" customFormat="false" ht="13.5" hidden="false" customHeight="true" outlineLevel="0" collapsed="false">
      <c r="B3" s="12" t="s">
        <v>20</v>
      </c>
      <c r="C3" s="13"/>
      <c r="D3" s="13"/>
      <c r="E3" s="13"/>
      <c r="F3" s="13"/>
      <c r="G3" s="13"/>
      <c r="H3" s="13"/>
      <c r="I3" s="13"/>
      <c r="J3" s="13"/>
      <c r="K3" s="13"/>
    </row>
    <row r="4" customFormat="false" ht="15" hidden="false" customHeight="true" outlineLevel="0" collapsed="false">
      <c r="B4" s="14" t="s">
        <v>21</v>
      </c>
      <c r="C4" s="15" t="s">
        <v>22</v>
      </c>
    </row>
    <row r="5" customFormat="false" ht="15" hidden="false" customHeight="true" outlineLevel="0" collapsed="false">
      <c r="B5" s="14" t="s">
        <v>23</v>
      </c>
      <c r="C5" s="15" t="s">
        <v>22</v>
      </c>
    </row>
    <row r="6" customFormat="false" ht="15" hidden="false" customHeight="true" outlineLevel="0" collapsed="false">
      <c r="B6" s="14" t="s">
        <v>24</v>
      </c>
      <c r="C6" s="15" t="s">
        <v>22</v>
      </c>
    </row>
    <row r="7" customFormat="false" ht="15" hidden="false" customHeight="true" outlineLevel="0" collapsed="false">
      <c r="B7" s="14" t="s">
        <v>25</v>
      </c>
      <c r="C7" s="15" t="s">
        <v>26</v>
      </c>
    </row>
    <row r="8" customFormat="false" ht="15" hidden="false" customHeight="true" outlineLevel="0" collapsed="false">
      <c r="B8" s="14" t="s">
        <v>27</v>
      </c>
      <c r="C8" s="15"/>
    </row>
    <row r="9" customFormat="false" ht="15" hidden="false" customHeight="true" outlineLevel="0" collapsed="false">
      <c r="B9" s="14" t="s">
        <v>28</v>
      </c>
      <c r="C9" s="15"/>
    </row>
    <row r="10" customFormat="false" ht="15" hidden="false" customHeight="true" outlineLevel="0" collapsed="false">
      <c r="B10" s="14" t="s">
        <v>29</v>
      </c>
      <c r="C10" s="15"/>
    </row>
    <row r="11" customFormat="false" ht="15" hidden="false" customHeight="true" outlineLevel="0" collapsed="false">
      <c r="B11" s="14" t="s">
        <v>30</v>
      </c>
      <c r="C11" s="15" t="s">
        <v>22</v>
      </c>
    </row>
    <row r="12" customFormat="false" ht="15" hidden="false" customHeight="true" outlineLevel="0" collapsed="false">
      <c r="B12" s="14" t="s">
        <v>31</v>
      </c>
      <c r="C12" s="15" t="s">
        <v>22</v>
      </c>
      <c r="D12" s="16"/>
    </row>
    <row r="14" customFormat="false" ht="13.5" hidden="false" customHeight="true" outlineLevel="0" collapsed="false">
      <c r="B14" s="17" t="s">
        <v>32</v>
      </c>
      <c r="C14" s="10"/>
      <c r="D14" s="10"/>
      <c r="E14" s="10"/>
      <c r="F14" s="10"/>
      <c r="G14" s="10"/>
      <c r="H14" s="10"/>
      <c r="I14" s="10"/>
      <c r="J14" s="10"/>
      <c r="K14" s="10"/>
    </row>
    <row r="15" customFormat="false" ht="27.75" hidden="false" customHeight="true" outlineLevel="0" collapsed="false">
      <c r="B15" s="18" t="s">
        <v>33</v>
      </c>
      <c r="C15" s="18" t="s">
        <v>34</v>
      </c>
      <c r="D15" s="18" t="s">
        <v>35</v>
      </c>
      <c r="E15" s="18" t="s">
        <v>36</v>
      </c>
      <c r="F15" s="18" t="s">
        <v>37</v>
      </c>
      <c r="G15" s="18" t="s">
        <v>38</v>
      </c>
      <c r="H15" s="18" t="s">
        <v>39</v>
      </c>
      <c r="I15" s="18" t="s">
        <v>40</v>
      </c>
      <c r="J15" s="18" t="s">
        <v>41</v>
      </c>
      <c r="K15" s="18" t="s">
        <v>42</v>
      </c>
    </row>
    <row r="16" customFormat="false" ht="33.75" hidden="false" customHeight="true" outlineLevel="0" collapsed="false">
      <c r="B16" s="19" t="n">
        <f aca="false">IF(AND(M16&gt;0,N16&gt;0),1,"")</f>
        <v>1</v>
      </c>
      <c r="C16" s="19" t="str">
        <f aca="false">IF(AND(M16&gt;0,N16&gt;0),INDEX($B$35:$B$167,N16),"")</f>
        <v>Install Median Barrier</v>
      </c>
      <c r="D16" s="19" t="str">
        <f aca="false">IF(AND(M16&gt;0,N16&gt;0),INDEX($C$35:$C$167,N16),"")</f>
        <v>CM: Median Barriers</v>
      </c>
      <c r="E16" s="20" t="str">
        <f aca="false">IF(AND(M16&gt;0,N16&gt;0),TEXT(INDEX($D$35:$D$167,N16)/100,"0.0%"),"")</f>
        <v>97.0%</v>
      </c>
      <c r="F16" s="20" t="n">
        <f aca="false">IF(AND(M16&gt;0,N16&gt;0),INDEX($E$35:$E$167,N16),"")</f>
        <v>0.03</v>
      </c>
      <c r="G16" s="20" t="n">
        <f aca="false">IF(AND(M16&gt;0,N16&gt;0),IF(INDEX($F$35:$F$167,N16)&lt;=0,"NR",INDEX($F$35:$F$167,N16)),"")</f>
        <v>3</v>
      </c>
      <c r="H16" s="19" t="str">
        <f aca="false">IF(AND(M16&gt;0,N16&gt;0),INDEX($Z$35:$Z$167,N16),"")</f>
        <v>All crashes / Only: Cross median</v>
      </c>
      <c r="I16" s="19" t="str">
        <f aca="false">IF(AND(M16&gt;0,N16&gt;0),INDEX($AA$35:$AA$167,N16),"")</f>
        <v>OVERSTATES: Cross-median crashes only; criteria also has median rollovers and fixed objects. Study roads: Principal Arterial Other Freeways and Expressways. Not for collectors or locals (team). No AADT range in the study.</v>
      </c>
      <c r="J16" s="20" t="n">
        <f aca="false">IF(AND(M16&gt;0,N16&gt;0),INDEX($R$35:$R$167,N16),"")</f>
        <v>97</v>
      </c>
      <c r="K16" s="20" t="str">
        <f aca="false">IF(AND(M16&gt;0,N16&gt;0),INDEX($T$35:$T$167,N16),"")</f>
        <v>Original </v>
      </c>
      <c r="M16" s="21" t="n">
        <f aca="false">LARGE($S$35:$S$167,1)</f>
        <v>9798.447</v>
      </c>
      <c r="N16" s="21" t="n">
        <f aca="false">IFERROR(MATCH(M16,$S$35:$S$167,0),0)</f>
        <v>53</v>
      </c>
    </row>
    <row r="17" customFormat="false" ht="33.75" hidden="false" customHeight="true" outlineLevel="0" collapsed="false">
      <c r="B17" s="22" t="n">
        <f aca="false">IF(AND(M17&gt;0,N17&gt;0),2,"")</f>
        <v>2</v>
      </c>
      <c r="C17" s="22" t="str">
        <f aca="false">IF(AND(M17&gt;0,N17&gt;0),INDEX($B$35:$B$167,N17),"")</f>
        <v>Install A Combination Of Chevron Signs, Curve Warning Signs, And/Or Sequential Flashing Beacons</v>
      </c>
      <c r="D17" s="22" t="str">
        <f aca="false">IF(AND(M17&gt;0,N17&gt;0),INDEX($C$35:$C$167,N17),"")</f>
        <v>CM: Enhanced Delineation for Horizontal Curves</v>
      </c>
      <c r="E17" s="23" t="str">
        <f aca="false">IF(AND(M17&gt;0,N17&gt;0),TEXT(INDEX($D$35:$D$167,N17)/100,"0.0%"),"")</f>
        <v>79.0%</v>
      </c>
      <c r="F17" s="23" t="n">
        <f aca="false">IF(AND(M17&gt;0,N17&gt;0),INDEX($E$35:$E$167,N17),"")</f>
        <v>0.21</v>
      </c>
      <c r="G17" s="23" t="n">
        <f aca="false">IF(AND(M17&gt;0,N17&gt;0),IF(INDEX($F$35:$F$167,N17)&lt;=0,"NR",INDEX($F$35:$F$167,N17)),"")</f>
        <v>4</v>
      </c>
      <c r="H17" s="22" t="str">
        <f aca="false">IF(AND(M17&gt;0,N17&gt;0),INDEX($Z$35:$Z$167,N17),"")</f>
        <v>All crashes / Only: Nighttime</v>
      </c>
      <c r="I17" s="22" t="str">
        <f aca="false">IF(AND(M17&gt;0,N17&gt;0),INDEX($AA$35:$AA$167,N17),"")</f>
        <v>OVERSTATES: Night crashes only. Study roads: Principal Arterial Other Freeways and Expressways. Not for collectors or locals (team). Study AADT is below the SC average for this class (~17,000). AADT tested: 7,400-13,975.</v>
      </c>
      <c r="J17" s="23" t="n">
        <f aca="false">IF(AND(M17&gt;0,N17&gt;0),INDEX($R$35:$R$167,N17),"")</f>
        <v>97</v>
      </c>
      <c r="K17" s="23" t="str">
        <f aca="false">IF(AND(M17&gt;0,N17&gt;0),INDEX($T$35:$T$167,N17),"")</f>
        <v>Added  </v>
      </c>
      <c r="M17" s="21" t="n">
        <f aca="false">LARGE($S$35:$S$167,2)</f>
        <v>9780.958</v>
      </c>
      <c r="N17" s="21" t="n">
        <f aca="false">IFERROR(MATCH(M17,$S$35:$S$167,0),0)</f>
        <v>42</v>
      </c>
    </row>
    <row r="18" customFormat="false" ht="22.5" hidden="false" customHeight="true" outlineLevel="0" collapsed="false">
      <c r="B18" s="19" t="n">
        <f aca="false">IF(AND(M18&gt;0,N18&gt;0),3,"")</f>
        <v>3</v>
      </c>
      <c r="C18" s="19" t="str">
        <f aca="false">IF(AND(M18&gt;0,N18&gt;0),INDEX($B$35:$B$167,N18),"")</f>
        <v>Improve Pavement Friction (Chip Seal)</v>
      </c>
      <c r="D18" s="19" t="str">
        <f aca="false">IF(AND(M18&gt;0,N18&gt;0),INDEX($C$35:$C$167,N18),"")</f>
        <v>CM: Pavement Friction Management</v>
      </c>
      <c r="E18" s="20" t="str">
        <f aca="false">IF(AND(M18&gt;0,N18&gt;0),TEXT(INDEX($D$35:$D$167,N18)/100,"0.0%"),"")</f>
        <v>77.8%</v>
      </c>
      <c r="F18" s="20" t="n">
        <f aca="false">IF(AND(M18&gt;0,N18&gt;0),INDEX($E$35:$E$167,N18),"")</f>
        <v>0.222</v>
      </c>
      <c r="G18" s="20" t="n">
        <f aca="false">IF(AND(M18&gt;0,N18&gt;0),IF(INDEX($F$35:$F$167,N18)&lt;=0,"NR",INDEX($F$35:$F$167,N18)),"")</f>
        <v>4</v>
      </c>
      <c r="H18" s="19" t="str">
        <f aca="false">IF(AND(M18&gt;0,N18&gt;0),INDEX($Z$35:$Z$167,N18),"")</f>
        <v>All crashes / Only: Run off road,Wet road</v>
      </c>
      <c r="I18" s="19" t="str">
        <f aca="false">IF(AND(M18&gt;0,N18&gt;0),INDEX($AA$35:$AA$167,N18),"")</f>
        <v>AADT tested: 1,280-22,600.</v>
      </c>
      <c r="J18" s="20" t="n">
        <f aca="false">IF(AND(M18&gt;0,N18&gt;0),INDEX($R$35:$R$167,N18),"")</f>
        <v>97</v>
      </c>
      <c r="K18" s="20" t="str">
        <f aca="false">IF(AND(M18&gt;0,N18&gt;0),INDEX($T$35:$T$167,N18),"")</f>
        <v>Added  </v>
      </c>
      <c r="M18" s="21" t="n">
        <f aca="false">LARGE($S$35:$S$167,3)</f>
        <v>9779.672</v>
      </c>
      <c r="N18" s="21" t="n">
        <f aca="false">IFERROR(MATCH(M18,$S$35:$S$167,0),0)</f>
        <v>128</v>
      </c>
    </row>
    <row r="19" customFormat="false" ht="22.5" hidden="false" customHeight="true" outlineLevel="0" collapsed="false">
      <c r="B19" s="22" t="n">
        <f aca="false">IF(AND(M19&gt;0,N19&gt;0),4,"")</f>
        <v>4</v>
      </c>
      <c r="C19" s="22" t="str">
        <f aca="false">IF(AND(M19&gt;0,N19&gt;0),INDEX($B$35:$B$167,N19),"")</f>
        <v>Install Chevron Signs, Curve Warning Signs, And Sequential Flashing Beacons</v>
      </c>
      <c r="D19" s="22" t="str">
        <f aca="false">IF(AND(M19&gt;0,N19&gt;0),INDEX($C$35:$C$167,N19),"")</f>
        <v>CM: Enhanced Delineation for Horizontal Curves</v>
      </c>
      <c r="E19" s="23" t="str">
        <f aca="false">IF(AND(M19&gt;0,N19&gt;0),TEXT(INDEX($D$35:$D$167,N19)/100,"0.0%"),"")</f>
        <v>76.9%</v>
      </c>
      <c r="F19" s="23" t="n">
        <f aca="false">IF(AND(M19&gt;0,N19&gt;0),INDEX($E$35:$E$167,N19),"")</f>
        <v>0.231</v>
      </c>
      <c r="G19" s="23" t="n">
        <f aca="false">IF(AND(M19&gt;0,N19&gt;0),IF(INDEX($F$35:$F$167,N19)&lt;=0,"NR",INDEX($F$35:$F$167,N19)),"")</f>
        <v>4</v>
      </c>
      <c r="H19" s="22" t="str">
        <f aca="false">IF(AND(M19&gt;0,N19&gt;0),INDEX($Z$35:$Z$167,N19),"")</f>
        <v>All crashes / Only: Nighttime</v>
      </c>
      <c r="I19" s="22" t="str">
        <f aca="false">IF(AND(M19&gt;0,N19&gt;0),INDEX($AA$35:$AA$167,N19),"")</f>
        <v>OVERSTATES: Night crashes only. Study roads: Principal Arterial Other Freeways and Expressways. Not for collectors or locals (team). Study AADT is below the SC average for this class (~17,000). AADT tested: 7,400-13,975.</v>
      </c>
      <c r="J19" s="23" t="n">
        <f aca="false">IF(AND(M19&gt;0,N19&gt;0),INDEX($R$35:$R$167,N19),"")</f>
        <v>97</v>
      </c>
      <c r="K19" s="23" t="str">
        <f aca="false">IF(AND(M19&gt;0,N19&gt;0),INDEX($T$35:$T$167,N19),"")</f>
        <v>Added  </v>
      </c>
      <c r="M19" s="21" t="n">
        <f aca="false">LARGE($S$35:$S$167,4)</f>
        <v>9778.857</v>
      </c>
      <c r="N19" s="21" t="n">
        <f aca="false">IFERROR(MATCH(M19,$S$35:$S$167,0),0)</f>
        <v>43</v>
      </c>
    </row>
    <row r="20" customFormat="false" ht="22.5" hidden="false" customHeight="true" outlineLevel="0" collapsed="false">
      <c r="B20" s="19" t="n">
        <f aca="false">IF(AND(M20&gt;0,N20&gt;0),5,"")</f>
        <v>5</v>
      </c>
      <c r="C20" s="19" t="str">
        <f aca="false">IF(AND(M20&gt;0,N20&gt;0),INDEX($B$35:$B$167,N20),"")</f>
        <v>Improve Pavement Friction (OGFC-Open Graded Friction Course)</v>
      </c>
      <c r="D20" s="19" t="str">
        <f aca="false">IF(AND(M20&gt;0,N20&gt;0),INDEX($C$35:$C$167,N20),"")</f>
        <v>CM: Pavement Friction Management</v>
      </c>
      <c r="E20" s="20" t="str">
        <f aca="false">IF(AND(M20&gt;0,N20&gt;0),TEXT(INDEX($D$35:$D$167,N20)/100,"0.0%"),"")</f>
        <v>69.4%</v>
      </c>
      <c r="F20" s="20" t="n">
        <f aca="false">IF(AND(M20&gt;0,N20&gt;0),INDEX($E$35:$E$167,N20),"")</f>
        <v>0.306</v>
      </c>
      <c r="G20" s="20" t="n">
        <f aca="false">IF(AND(M20&gt;0,N20&gt;0),IF(INDEX($F$35:$F$167,N20)&lt;=0,"NR",INDEX($F$35:$F$167,N20)),"")</f>
        <v>4</v>
      </c>
      <c r="H20" s="19" t="str">
        <f aca="false">IF(AND(M20&gt;0,N20&gt;0),INDEX($Z$35:$Z$167,N20),"")</f>
        <v>All crashes / Only: Run off road,Wet road</v>
      </c>
      <c r="I20" s="19" t="str">
        <f aca="false">IF(AND(M20&gt;0,N20&gt;0),INDEX($AA$35:$AA$167,N20),"")</f>
        <v>AADT tested: 14,961-158,656.</v>
      </c>
      <c r="J20" s="20" t="n">
        <f aca="false">IF(AND(M20&gt;0,N20&gt;0),INDEX($R$35:$R$167,N20),"")</f>
        <v>97</v>
      </c>
      <c r="K20" s="20" t="str">
        <f aca="false">IF(AND(M20&gt;0,N20&gt;0),INDEX($T$35:$T$167,N20),"")</f>
        <v>Added  </v>
      </c>
      <c r="M20" s="21" t="n">
        <f aca="false">LARGE($S$35:$S$167,5)</f>
        <v>9771.271</v>
      </c>
      <c r="N20" s="21" t="n">
        <f aca="false">IFERROR(MATCH(M20,$S$35:$S$167,0),0)</f>
        <v>129</v>
      </c>
    </row>
    <row r="21" customFormat="false" ht="22.5" hidden="false" customHeight="true" outlineLevel="0" collapsed="false">
      <c r="B21" s="22" t="n">
        <f aca="false">IF(AND(M21&gt;0,N21&gt;0),6,"")</f>
        <v>6</v>
      </c>
      <c r="C21" s="22" t="str">
        <f aca="false">IF(AND(M21&gt;0,N21&gt;0),INDEX($B$35:$B$167,N21),"")</f>
        <v>Improve Pavement Friction (UTBWC-Ultra Thin Bonded Wearing Course)</v>
      </c>
      <c r="D21" s="22" t="str">
        <f aca="false">IF(AND(M21&gt;0,N21&gt;0),INDEX($C$35:$C$167,N21),"")</f>
        <v>CM: Pavement Friction Management</v>
      </c>
      <c r="E21" s="23" t="str">
        <f aca="false">IF(AND(M21&gt;0,N21&gt;0),TEXT(INDEX($D$35:$D$167,N21)/100,"0.0%"),"")</f>
        <v>67.0%</v>
      </c>
      <c r="F21" s="23" t="n">
        <f aca="false">IF(AND(M21&gt;0,N21&gt;0),INDEX($E$35:$E$167,N21),"")</f>
        <v>0.33</v>
      </c>
      <c r="G21" s="23" t="n">
        <f aca="false">IF(AND(M21&gt;0,N21&gt;0),IF(INDEX($F$35:$F$167,N21)&lt;=0,"NR",INDEX($F$35:$F$167,N21)),"")</f>
        <v>4</v>
      </c>
      <c r="H21" s="22" t="str">
        <f aca="false">IF(AND(M21&gt;0,N21&gt;0),INDEX($Z$35:$Z$167,N21),"")</f>
        <v>All crashes / Only: Wet road</v>
      </c>
      <c r="I21" s="22" t="str">
        <f aca="false">IF(AND(M21&gt;0,N21&gt;0),INDEX($AA$35:$AA$167,N21),"")</f>
        <v>AADT tested: 2,508-50,811.</v>
      </c>
      <c r="J21" s="23" t="n">
        <f aca="false">IF(AND(M21&gt;0,N21&gt;0),INDEX($R$35:$R$167,N21),"")</f>
        <v>97</v>
      </c>
      <c r="K21" s="23" t="str">
        <f aca="false">IF(AND(M21&gt;0,N21&gt;0),INDEX($T$35:$T$167,N21),"")</f>
        <v>Added  </v>
      </c>
      <c r="M21" s="21" t="n">
        <f aca="false">LARGE($S$35:$S$167,6)</f>
        <v>9768.87</v>
      </c>
      <c r="N21" s="21" t="n">
        <f aca="false">IFERROR(MATCH(M21,$S$35:$S$167,0),0)</f>
        <v>130</v>
      </c>
    </row>
    <row r="22" customFormat="false" ht="12.75" hidden="false" customHeight="false" outlineLevel="0" collapsed="false">
      <c r="B22" s="19" t="n">
        <f aca="false">IF(AND(M22&gt;0,N22&gt;0),7,"")</f>
        <v>7</v>
      </c>
      <c r="C22" s="19" t="str">
        <f aca="false">IF(AND(M22&gt;0,N22&gt;0),INDEX($B$35:$B$167,N22),"")</f>
        <v>Install High Friction Surface Treatment (Hfst)</v>
      </c>
      <c r="D22" s="19" t="str">
        <f aca="false">IF(AND(M22&gt;0,N22&gt;0),INDEX($C$35:$C$167,N22),"")</f>
        <v>CM: Pavement Friction Management</v>
      </c>
      <c r="E22" s="20" t="str">
        <f aca="false">IF(AND(M22&gt;0,N22&gt;0),TEXT(INDEX($D$35:$D$167,N22)/100,"0.0%"),"")</f>
        <v>63.5%</v>
      </c>
      <c r="F22" s="20" t="n">
        <f aca="false">IF(AND(M22&gt;0,N22&gt;0),INDEX($E$35:$E$167,N22),"")</f>
        <v>0.365</v>
      </c>
      <c r="G22" s="20" t="n">
        <f aca="false">IF(AND(M22&gt;0,N22&gt;0),IF(INDEX($F$35:$F$167,N22)&lt;=0,"NR",INDEX($F$35:$F$167,N22)),"")</f>
        <v>4</v>
      </c>
      <c r="H22" s="19" t="str">
        <f aca="false">IF(AND(M22&gt;0,N22&gt;0),INDEX($Z$35:$Z$167,N22),"")</f>
        <v>Fatal &amp; injury only / All crash types</v>
      </c>
      <c r="I22" s="19" t="str">
        <f aca="false">IF(AND(M22&gt;0,N22&gt;0),INDEX($AA$35:$AA$167,N22),"")</f>
        <v>No AADT range in the study.</v>
      </c>
      <c r="J22" s="20" t="n">
        <f aca="false">IF(AND(M22&gt;0,N22&gt;0),INDEX($R$35:$R$167,N22),"")</f>
        <v>97</v>
      </c>
      <c r="K22" s="20" t="str">
        <f aca="false">IF(AND(M22&gt;0,N22&gt;0),INDEX($T$35:$T$167,N22),"")</f>
        <v>Original </v>
      </c>
      <c r="M22" s="21" t="n">
        <f aca="false">LARGE($S$35:$S$167,7)</f>
        <v>9765.374</v>
      </c>
      <c r="N22" s="21" t="n">
        <f aca="false">IFERROR(MATCH(M22,$S$35:$S$167,0),0)</f>
        <v>126</v>
      </c>
    </row>
    <row r="23" customFormat="false" ht="22.5" hidden="false" customHeight="true" outlineLevel="0" collapsed="false">
      <c r="B23" s="22" t="n">
        <f aca="false">IF(AND(M23&gt;0,N23&gt;0),8,"")</f>
        <v>8</v>
      </c>
      <c r="C23" s="22" t="str">
        <f aca="false">IF(AND(M23&gt;0,N23&gt;0),INDEX($B$35:$B$167,N23),"")</f>
        <v>Install Sinusoidal Rumble Strip</v>
      </c>
      <c r="D23" s="22" t="str">
        <f aca="false">IF(AND(M23&gt;0,N23&gt;0),INDEX($C$35:$C$167,N23),"")</f>
        <v>CM: Centerline Rumble Strips (Two-Lane Roads)</v>
      </c>
      <c r="E23" s="23" t="str">
        <f aca="false">IF(AND(M23&gt;0,N23&gt;0),TEXT(INDEX($D$35:$D$167,N23)/100,"0.0%"),"")</f>
        <v>57.0%</v>
      </c>
      <c r="F23" s="23" t="n">
        <f aca="false">IF(AND(M23&gt;0,N23&gt;0),INDEX($E$35:$E$167,N23),"")</f>
        <v>0.43</v>
      </c>
      <c r="G23" s="23" t="n">
        <f aca="false">IF(AND(M23&gt;0,N23&gt;0),IF(INDEX($F$35:$F$167,N23)&lt;=0,"NR",INDEX($F$35:$F$167,N23)),"")</f>
        <v>5</v>
      </c>
      <c r="H23" s="22" t="str">
        <f aca="false">IF(AND(M23&gt;0,N23&gt;0),INDEX($Z$35:$Z$167,N23),"")</f>
        <v>All crashes / Only: Other</v>
      </c>
      <c r="I23" s="22" t="str">
        <f aca="false">IF(AND(M23&gt;0,N23&gt;0),INDEX($AA$35:$AA$167,N23),"")</f>
        <v>No AADT range in the study.</v>
      </c>
      <c r="J23" s="23" t="n">
        <f aca="false">IF(AND(M23&gt;0,N23&gt;0),INDEX($R$35:$R$167,N23),"")</f>
        <v>97</v>
      </c>
      <c r="K23" s="23" t="str">
        <f aca="false">IF(AND(M23&gt;0,N23&gt;0),INDEX($T$35:$T$167,N23),"")</f>
        <v>Added  </v>
      </c>
      <c r="M23" s="21" t="n">
        <f aca="false">LARGE($S$35:$S$167,8)</f>
        <v>9759.453</v>
      </c>
      <c r="N23" s="21" t="n">
        <f aca="false">IFERROR(MATCH(M23,$S$35:$S$167,0),0)</f>
        <v>47</v>
      </c>
    </row>
    <row r="24" customFormat="false" ht="12.75" hidden="false" customHeight="false" outlineLevel="0" collapsed="false">
      <c r="B24" s="19" t="n">
        <f aca="false">IF(AND(M24&gt;0,N24&gt;0),9,"")</f>
        <v>9</v>
      </c>
      <c r="C24" s="19" t="str">
        <f aca="false">IF(AND(M24&gt;0,N24&gt;0),INDEX($B$35:$B$167,N24),"")</f>
        <v>Improve Pavement Friction (Microsurfacing)</v>
      </c>
      <c r="D24" s="19" t="str">
        <f aca="false">IF(AND(M24&gt;0,N24&gt;0),INDEX($C$35:$C$167,N24),"")</f>
        <v>CM: Pavement Friction Management</v>
      </c>
      <c r="E24" s="20" t="str">
        <f aca="false">IF(AND(M24&gt;0,N24&gt;0),TEXT(INDEX($D$35:$D$167,N24)/100,"0.0%"),"")</f>
        <v>56.0%</v>
      </c>
      <c r="F24" s="20" t="n">
        <f aca="false">IF(AND(M24&gt;0,N24&gt;0),INDEX($E$35:$E$167,N24),"")</f>
        <v>0.44</v>
      </c>
      <c r="G24" s="20" t="n">
        <f aca="false">IF(AND(M24&gt;0,N24&gt;0),IF(INDEX($F$35:$F$167,N24)&lt;=0,"NR",INDEX($F$35:$F$167,N24)),"")</f>
        <v>4</v>
      </c>
      <c r="H24" s="19" t="str">
        <f aca="false">IF(AND(M24&gt;0,N24&gt;0),INDEX($Z$35:$Z$167,N24),"")</f>
        <v>All crashes / Only: Run off road</v>
      </c>
      <c r="I24" s="19" t="str">
        <f aca="false">IF(AND(M24&gt;0,N24&gt;0),INDEX($AA$35:$AA$167,N24),"")</f>
        <v>AADT tested: 628-30,314.</v>
      </c>
      <c r="J24" s="20" t="n">
        <f aca="false">IF(AND(M24&gt;0,N24&gt;0),INDEX($R$35:$R$167,N24),"")</f>
        <v>97</v>
      </c>
      <c r="K24" s="20" t="str">
        <f aca="false">IF(AND(M24&gt;0,N24&gt;0),INDEX($T$35:$T$167,N24),"")</f>
        <v>Added  </v>
      </c>
      <c r="M24" s="21" t="n">
        <f aca="false">LARGE($S$35:$S$167,9)</f>
        <v>9757.869</v>
      </c>
      <c r="N24" s="21" t="n">
        <f aca="false">IFERROR(MATCH(M24,$S$35:$S$167,0),0)</f>
        <v>131</v>
      </c>
    </row>
    <row r="25" customFormat="false" ht="43.25" hidden="false" customHeight="false" outlineLevel="0" collapsed="false">
      <c r="B25" s="22" t="n">
        <f aca="false">IF(AND(M25&gt;0,N25&gt;0),10,"")</f>
        <v>10</v>
      </c>
      <c r="C25" s="22" t="str">
        <f aca="false">IF(AND(M25&gt;0,N25&gt;0),INDEX($B$35:$B$167,N25),"")</f>
        <v>Install Cable Median Barrier (High Tension)</v>
      </c>
      <c r="D25" s="22" t="str">
        <f aca="false">IF(AND(M25&gt;0,N25&gt;0),INDEX($C$35:$C$167,N25),"")</f>
        <v>CM: Median Barriers</v>
      </c>
      <c r="E25" s="23" t="str">
        <f aca="false">IF(AND(M25&gt;0,N25&gt;0),TEXT(INDEX($D$35:$D$167,N25)/100,"0.0%"),"")</f>
        <v>53.0%</v>
      </c>
      <c r="F25" s="23" t="n">
        <f aca="false">IF(AND(M25&gt;0,N25&gt;0),INDEX($E$35:$E$167,N25),"")</f>
        <v>0.47</v>
      </c>
      <c r="G25" s="23" t="n">
        <f aca="false">IF(AND(M25&gt;0,N25&gt;0),IF(INDEX($F$35:$F$167,N25)&lt;=0,"NR",INDEX($F$35:$F$167,N25)),"")</f>
        <v>4</v>
      </c>
      <c r="H25" s="22" t="str">
        <f aca="false">IF(AND(M25&gt;0,N25&gt;0),INDEX($Z$35:$Z$167,N25),"")</f>
        <v>Fatal &amp; injury only / Only: Other</v>
      </c>
      <c r="I25" s="22" t="str">
        <f aca="false">IF(AND(M25&gt;0,N25&gt;0),INDEX($AA$35:$AA$167,N25),"")</f>
        <v>CHECK: Study's 'target crashes' not defined in the Clearinghouse entry. Study roads: Principal Arterial Other Freeways and Expressways. Not for collectors or locals (team). AADT tested: 1,508-99,850.</v>
      </c>
      <c r="J25" s="23" t="n">
        <f aca="false">IF(AND(M25&gt;0,N25&gt;0),INDEX($R$35:$R$167,N25),"")</f>
        <v>97</v>
      </c>
      <c r="K25" s="23" t="str">
        <f aca="false">IF(AND(M25&gt;0,N25&gt;0),INDEX($T$35:$T$167,N25),"")</f>
        <v>Added  </v>
      </c>
      <c r="M25" s="21" t="n">
        <f aca="false">LARGE($S$35:$S$167,10)</f>
        <v>9754.946</v>
      </c>
      <c r="N25" s="21" t="n">
        <f aca="false">IFERROR(MATCH(M25,$S$35:$S$167,0),0)</f>
        <v>54</v>
      </c>
    </row>
    <row r="26" customFormat="false" ht="22.5" hidden="false" customHeight="true" outlineLevel="0" collapsed="false">
      <c r="B26" s="19" t="n">
        <f aca="false">IF(AND(M26&gt;0,N26&gt;0),11,"")</f>
        <v>11</v>
      </c>
      <c r="C26" s="19" t="str">
        <f aca="false">IF(AND(M26&gt;0,N26&gt;0),INDEX($B$35:$B$167,N26),"")</f>
        <v>Improve Pavement Friction (Diamond Grinding)</v>
      </c>
      <c r="D26" s="19" t="str">
        <f aca="false">IF(AND(M26&gt;0,N26&gt;0),INDEX($C$35:$C$167,N26),"")</f>
        <v>CM: Pavement Friction Management</v>
      </c>
      <c r="E26" s="20" t="str">
        <f aca="false">IF(AND(M26&gt;0,N26&gt;0),TEXT(INDEX($D$35:$D$167,N26)/100,"0.0%"),"")</f>
        <v>52.0%</v>
      </c>
      <c r="F26" s="20" t="n">
        <f aca="false">IF(AND(M26&gt;0,N26&gt;0),INDEX($E$35:$E$167,N26),"")</f>
        <v>0.48</v>
      </c>
      <c r="G26" s="20" t="n">
        <f aca="false">IF(AND(M26&gt;0,N26&gt;0),IF(INDEX($F$35:$F$167,N26)&lt;=0,"NR",INDEX($F$35:$F$167,N26)),"")</f>
        <v>4</v>
      </c>
      <c r="H26" s="19" t="str">
        <f aca="false">IF(AND(M26&gt;0,N26&gt;0),INDEX($Z$35:$Z$167,N26),"")</f>
        <v>All crashes / Only: Wet road</v>
      </c>
      <c r="I26" s="19" t="str">
        <f aca="false">IF(AND(M26&gt;0,N26&gt;0),INDEX($AA$35:$AA$167,N26),"")</f>
        <v>AADT tested: 10,240-278,200.</v>
      </c>
      <c r="J26" s="20" t="n">
        <f aca="false">IF(AND(M26&gt;0,N26&gt;0),INDEX($R$35:$R$167,N26),"")</f>
        <v>97</v>
      </c>
      <c r="K26" s="20" t="str">
        <f aca="false">IF(AND(M26&gt;0,N26&gt;0),INDEX($T$35:$T$167,N26),"")</f>
        <v>Added  </v>
      </c>
      <c r="M26" s="21" t="n">
        <f aca="false">LARGE($S$35:$S$167,11)</f>
        <v>9753.868</v>
      </c>
      <c r="N26" s="21" t="n">
        <f aca="false">IFERROR(MATCH(M26,$S$35:$S$167,0),0)</f>
        <v>132</v>
      </c>
    </row>
    <row r="27" customFormat="false" ht="22.5" hidden="false" customHeight="true" outlineLevel="0" collapsed="false">
      <c r="B27" s="22" t="n">
        <f aca="false">IF(AND(M27&gt;0,N27&gt;0),12,"")</f>
        <v>12</v>
      </c>
      <c r="C27" s="22" t="str">
        <f aca="false">IF(AND(M27&gt;0,N27&gt;0),INDEX($B$35:$B$167,N27),"")</f>
        <v>Install Centerline Rumble Strips</v>
      </c>
      <c r="D27" s="22" t="str">
        <f aca="false">IF(AND(M27&gt;0,N27&gt;0),INDEX($C$35:$C$167,N27),"")</f>
        <v>CM: Centerline Rumble Strips (Two-Lane Roads)</v>
      </c>
      <c r="E27" s="23" t="str">
        <f aca="false">IF(AND(M27&gt;0,N27&gt;0),TEXT(INDEX($D$35:$D$167,N27)/100,"0.0%"),"")</f>
        <v>49.0%</v>
      </c>
      <c r="F27" s="23" t="n">
        <f aca="false">IF(AND(M27&gt;0,N27&gt;0),INDEX($E$35:$E$167,N27),"")</f>
        <v>0.51</v>
      </c>
      <c r="G27" s="23" t="n">
        <f aca="false">IF(AND(M27&gt;0,N27&gt;0),IF(INDEX($F$35:$F$167,N27)&lt;=0,"NR",INDEX($F$35:$F$167,N27)),"")</f>
        <v>5</v>
      </c>
      <c r="H27" s="22" t="str">
        <f aca="false">IF(AND(M27&gt;0,N27&gt;0),INDEX($Z$35:$Z$167,N27),"")</f>
        <v>All crashes / Only: Head on,Sideswipe</v>
      </c>
      <c r="I27" s="22" t="str">
        <f aca="false">IF(AND(M27&gt;0,N27&gt;0),INDEX($AA$35:$AA$167,N27),"")</f>
        <v>AADT tested: 1,336-13,240.</v>
      </c>
      <c r="J27" s="23" t="n">
        <f aca="false">IF(AND(M27&gt;0,N27&gt;0),INDEX($R$35:$R$167,N27),"")</f>
        <v>97</v>
      </c>
      <c r="K27" s="23" t="str">
        <f aca="false">IF(AND(M27&gt;0,N27&gt;0),INDEX($T$35:$T$167,N27),"")</f>
        <v>Added  </v>
      </c>
      <c r="M27" s="21" t="n">
        <f aca="false">LARGE($S$35:$S$167,12)</f>
        <v>9751.452</v>
      </c>
      <c r="N27" s="21" t="n">
        <f aca="false">IFERROR(MATCH(M27,$S$35:$S$167,0),0)</f>
        <v>48</v>
      </c>
    </row>
    <row r="28" customFormat="false" ht="22.5" hidden="false" customHeight="true" outlineLevel="0" collapsed="false">
      <c r="B28" s="19" t="n">
        <f aca="false">IF(AND(M28&gt;0,N28&gt;0),13,"")</f>
        <v>13</v>
      </c>
      <c r="C28" s="19" t="str">
        <f aca="false">IF(AND(M28&gt;0,N28&gt;0),INDEX($B$35:$B$167,N28),"")</f>
        <v>Install Centerline Rumble Strips On Tangent Sections</v>
      </c>
      <c r="D28" s="19" t="str">
        <f aca="false">IF(AND(M28&gt;0,N28&gt;0),INDEX($C$35:$C$167,N28),"")</f>
        <v>CM: Centerline Rumble Strips (Two-Lane Roads)</v>
      </c>
      <c r="E28" s="20" t="str">
        <f aca="false">IF(AND(M28&gt;0,N28&gt;0),TEXT(INDEX($D$35:$D$167,N28)/100,"0.0%"),"")</f>
        <v>49.0%</v>
      </c>
      <c r="F28" s="20" t="n">
        <f aca="false">IF(AND(M28&gt;0,N28&gt;0),INDEX($E$35:$E$167,N28),"")</f>
        <v>0.51</v>
      </c>
      <c r="G28" s="20" t="n">
        <f aca="false">IF(AND(M28&gt;0,N28&gt;0),IF(INDEX($F$35:$F$167,N28)&lt;=0,"NR",INDEX($F$35:$F$167,N28)),"")</f>
        <v>5</v>
      </c>
      <c r="H28" s="19" t="str">
        <f aca="false">IF(AND(M28&gt;0,N28&gt;0),INDEX($Z$35:$Z$167,N28),"")</f>
        <v>All crashes / Only: Head on,Sideswipe</v>
      </c>
      <c r="I28" s="19" t="str">
        <f aca="false">IF(AND(M28&gt;0,N28&gt;0),INDEX($AA$35:$AA$167,N28),"")</f>
        <v>AADT tested: 1,336-13,240.</v>
      </c>
      <c r="J28" s="20" t="n">
        <f aca="false">IF(AND(M28&gt;0,N28&gt;0),INDEX($R$35:$R$167,N28),"")</f>
        <v>97</v>
      </c>
      <c r="K28" s="20" t="str">
        <f aca="false">IF(AND(M28&gt;0,N28&gt;0),INDEX($T$35:$T$167,N28),"")</f>
        <v>Added  </v>
      </c>
      <c r="M28" s="21" t="n">
        <f aca="false">LARGE($S$35:$S$167,13)</f>
        <v>9751.451</v>
      </c>
      <c r="N28" s="21" t="n">
        <f aca="false">IFERROR(MATCH(M28,$S$35:$S$167,0),0)</f>
        <v>49</v>
      </c>
    </row>
    <row r="29" customFormat="false" ht="22.5" hidden="false" customHeight="true" outlineLevel="0" collapsed="false">
      <c r="B29" s="22" t="n">
        <f aca="false">IF(AND(M29&gt;0,N29&gt;0),14,"")</f>
        <v>14</v>
      </c>
      <c r="C29" s="22" t="str">
        <f aca="false">IF(AND(M29&gt;0,N29&gt;0),INDEX($B$35:$B$167,N29),"")</f>
        <v>Install Centerline Rumble Strips On Horizontal Curves</v>
      </c>
      <c r="D29" s="22" t="str">
        <f aca="false">IF(AND(M29&gt;0,N29&gt;0),INDEX($C$35:$C$167,N29),"")</f>
        <v>CM: Centerline Rumble Strips (Two-Lane Roads)</v>
      </c>
      <c r="E29" s="23" t="str">
        <f aca="false">IF(AND(M29&gt;0,N29&gt;0),TEXT(INDEX($D$35:$D$167,N29)/100,"0.0%"),"")</f>
        <v>47.0%</v>
      </c>
      <c r="F29" s="23" t="n">
        <f aca="false">IF(AND(M29&gt;0,N29&gt;0),INDEX($E$35:$E$167,N29),"")</f>
        <v>0.53</v>
      </c>
      <c r="G29" s="23" t="n">
        <f aca="false">IF(AND(M29&gt;0,N29&gt;0),IF(INDEX($F$35:$F$167,N29)&lt;=0,"NR",INDEX($F$35:$F$167,N29)),"")</f>
        <v>5</v>
      </c>
      <c r="H29" s="22" t="str">
        <f aca="false">IF(AND(M29&gt;0,N29&gt;0),INDEX($Z$35:$Z$167,N29),"")</f>
        <v>All crashes / Only: Head on,Sideswipe</v>
      </c>
      <c r="I29" s="22" t="str">
        <f aca="false">IF(AND(M29&gt;0,N29&gt;0),INDEX($AA$35:$AA$167,N29),"")</f>
        <v>AADT tested: 574-20,784.</v>
      </c>
      <c r="J29" s="23" t="n">
        <f aca="false">IF(AND(M29&gt;0,N29&gt;0),INDEX($R$35:$R$167,N29),"")</f>
        <v>97</v>
      </c>
      <c r="K29" s="23" t="str">
        <f aca="false">IF(AND(M29&gt;0,N29&gt;0),INDEX($T$35:$T$167,N29),"")</f>
        <v>Added  </v>
      </c>
      <c r="M29" s="21" t="n">
        <f aca="false">LARGE($S$35:$S$167,14)</f>
        <v>9749.45</v>
      </c>
      <c r="N29" s="21" t="n">
        <f aca="false">IFERROR(MATCH(M29,$S$35:$S$167,0),0)</f>
        <v>50</v>
      </c>
    </row>
    <row r="30" customFormat="false" ht="22.5" hidden="false" customHeight="true" outlineLevel="0" collapsed="false">
      <c r="B30" s="19" t="n">
        <f aca="false">IF(AND(M30&gt;0,N30&gt;0),15,"")</f>
        <v>15</v>
      </c>
      <c r="C30" s="19" t="str">
        <f aca="false">IF(AND(M30&gt;0,N30&gt;0),INDEX($B$35:$B$167,N30),"")</f>
        <v>Install W-Beam Guardrail</v>
      </c>
      <c r="D30" s="19" t="str">
        <f aca="false">IF(AND(M30&gt;0,N30&gt;0),INDEX($C$35:$C$167,N30),"")</f>
        <v>CM: Roadside Barriers (Guardrail)</v>
      </c>
      <c r="E30" s="20" t="str">
        <f aca="false">IF(AND(M30&gt;0,N30&gt;0),TEXT(INDEX($D$35:$D$167,N30)/100,"0.0%"),"")</f>
        <v>47.0%</v>
      </c>
      <c r="F30" s="20" t="n">
        <f aca="false">IF(AND(M30&gt;0,N30&gt;0),INDEX($E$35:$E$167,N30),"")</f>
        <v>0.53</v>
      </c>
      <c r="G30" s="20" t="n">
        <f aca="false">IF(AND(M30&gt;0,N30&gt;0),IF(INDEX($F$35:$F$167,N30)&lt;=0,"NR",INDEX($F$35:$F$167,N30)),"")</f>
        <v>4</v>
      </c>
      <c r="H30" s="19" t="str">
        <f aca="false">IF(AND(M30&gt;0,N30&gt;0),INDEX($Z$35:$Z$167,N30),"")</f>
        <v>Fatal &amp; injury only / Only: Nighttime,Run off road</v>
      </c>
      <c r="I30" s="19" t="str">
        <f aca="false">IF(AND(M30&gt;0,N30&gt;0),INDEX($AA$35:$AA$167,N30),"")</f>
        <v>OVERSTATES: Night run-off-road only. Study roads: Principal Arterial Other Freeways and Expressways. Not for collectors or locals (team). AADT tested: 35,000-104,600.</v>
      </c>
      <c r="J30" s="20" t="n">
        <f aca="false">IF(AND(M30&gt;0,N30&gt;0),INDEX($R$35:$R$167,N30),"")</f>
        <v>97</v>
      </c>
      <c r="K30" s="20" t="str">
        <f aca="false">IF(AND(M30&gt;0,N30&gt;0),INDEX($T$35:$T$167,N30),"")</f>
        <v>Added  </v>
      </c>
      <c r="M30" s="21" t="n">
        <f aca="false">LARGE($S$35:$S$167,15)</f>
        <v>9748.942</v>
      </c>
      <c r="N30" s="21" t="n">
        <f aca="false">IFERROR(MATCH(M30,$S$35:$S$167,0),0)</f>
        <v>58</v>
      </c>
    </row>
    <row r="31" customFormat="false" ht="12.75" hidden="false" customHeight="false" outlineLevel="0" collapsed="false">
      <c r="B31" s="16"/>
    </row>
    <row r="32" customFormat="false" ht="12.75" hidden="false" customHeight="false" outlineLevel="0" collapsed="false">
      <c r="B32" s="16"/>
    </row>
    <row r="33" customFormat="false" ht="12.75" hidden="true" customHeight="false" outlineLevel="0" collapsed="false">
      <c r="B33" s="24" t="s">
        <v>43</v>
      </c>
    </row>
    <row r="34" customFormat="false" ht="12.75" hidden="true" customHeight="false" outlineLevel="0" collapsed="false">
      <c r="A34" s="25" t="s">
        <v>44</v>
      </c>
      <c r="B34" s="25" t="s">
        <v>34</v>
      </c>
      <c r="C34" s="25" t="s">
        <v>45</v>
      </c>
      <c r="D34" s="25" t="s">
        <v>46</v>
      </c>
      <c r="E34" s="25" t="s">
        <v>37</v>
      </c>
      <c r="F34" s="25" t="s">
        <v>38</v>
      </c>
      <c r="G34" s="25" t="s">
        <v>47</v>
      </c>
      <c r="H34" s="25" t="s">
        <v>48</v>
      </c>
      <c r="I34" s="25" t="s">
        <v>49</v>
      </c>
      <c r="J34" s="25" t="s">
        <v>50</v>
      </c>
      <c r="K34" s="25" t="s">
        <v>51</v>
      </c>
      <c r="L34" s="25" t="s">
        <v>52</v>
      </c>
      <c r="M34" s="25" t="s">
        <v>53</v>
      </c>
      <c r="N34" s="25" t="s">
        <v>54</v>
      </c>
      <c r="O34" s="25" t="s">
        <v>55</v>
      </c>
      <c r="P34" s="25" t="s">
        <v>56</v>
      </c>
      <c r="Q34" s="25" t="s">
        <v>57</v>
      </c>
      <c r="R34" s="25" t="s">
        <v>58</v>
      </c>
      <c r="S34" s="25" t="s">
        <v>59</v>
      </c>
      <c r="T34" s="25" t="s">
        <v>42</v>
      </c>
      <c r="U34" s="25" t="s">
        <v>60</v>
      </c>
      <c r="V34" s="25" t="s">
        <v>61</v>
      </c>
      <c r="W34" s="25" t="s">
        <v>62</v>
      </c>
      <c r="X34" s="25" t="s">
        <v>63</v>
      </c>
      <c r="Y34" s="25" t="s">
        <v>64</v>
      </c>
      <c r="Z34" s="25" t="s">
        <v>65</v>
      </c>
      <c r="AA34" s="25" t="s">
        <v>66</v>
      </c>
    </row>
    <row r="35" customFormat="false" ht="12.75" hidden="true" customHeight="false" outlineLevel="0" collapsed="false">
      <c r="A35" s="0" t="n">
        <v>1</v>
      </c>
      <c r="B35" s="0" t="str">
        <f aca="false">Treatments!A3</f>
        <v>Install Automated Section Speed Enforcement System</v>
      </c>
      <c r="C35" s="0" t="str">
        <f aca="false">Treatments!B3</f>
        <v>CM: Appropriate Speed Limits for All Road Users</v>
      </c>
      <c r="D35" s="0" t="n">
        <f aca="false">Treatments!Q3</f>
        <v>36.8</v>
      </c>
      <c r="E35" s="0" t="n">
        <f aca="false">Treatments!P3</f>
        <v>0.632</v>
      </c>
      <c r="F35" s="0" t="n">
        <f aca="false">IF(ISNUMBER(Treatments!N3),Treatments!N3,0)</f>
        <v>5</v>
      </c>
      <c r="G35" s="0" t="str">
        <f aca="false">IF(ISNUMBER(Treatments!U3),Treatments!U3,"")</f>
        <v/>
      </c>
      <c r="H35" s="0" t="str">
        <f aca="false">IF(ISNUMBER(Treatments!V3),Treatments!V3,"")</f>
        <v/>
      </c>
      <c r="I35" s="0" t="s">
        <v>67</v>
      </c>
      <c r="J35" s="0" t="s">
        <v>68</v>
      </c>
      <c r="K35" s="0" t="s">
        <v>22</v>
      </c>
      <c r="L35" s="0" t="s">
        <v>69</v>
      </c>
      <c r="M35" s="0" t="n">
        <f aca="false">IF(ISNUMBER(SEARCH("|"&amp;$C$7&amp;"|",L35)),45,IF(ISNUMBER(SEARCH("|All|",L35)),18,0))</f>
        <v>18</v>
      </c>
      <c r="N35" s="0" t="n">
        <f aca="false">IF(OR($C$4="Any",I35="All"),12,IF(ISNUMBER(SEARCH($C$4,I35)),12,0))</f>
        <v>12</v>
      </c>
      <c r="O35" s="0" t="n">
        <f aca="false">IF(OR($C$5="Any",J35="Any",J35=$C$5),13,0)</f>
        <v>13</v>
      </c>
      <c r="P35" s="0" t="n">
        <f aca="false">IF(OR($C$6="Any",K35="Any",K35=$C$6),10,0)</f>
        <v>10</v>
      </c>
      <c r="Q35" s="0" t="n">
        <f aca="false">IF($C$8="",4,IF(AND(ISNUMBER(G35),ISNUMBER(H35)),IF(AND($C$8&gt;=G35,$C$8&lt;=H35),7,0),4))</f>
        <v>4</v>
      </c>
      <c r="R35" s="0" t="n">
        <f aca="false">M35+N35+O35+P35+Q35+V35+Y35</f>
        <v>70</v>
      </c>
      <c r="S35" s="0" t="n">
        <f aca="false">IF(OR(M35=0,W35=0),-A35,R35*100+D35+F35*0.5-A35*0.001)</f>
        <v>7039.299</v>
      </c>
      <c r="T35" s="0" t="str">
        <f aca="false">Treatments!M3</f>
        <v>Original </v>
      </c>
      <c r="U35" s="0" t="s">
        <v>70</v>
      </c>
      <c r="V35" s="0" t="n">
        <f aca="false">IF(OR($C$11="Any",U35="Any",U35=$C$11),8,0)</f>
        <v>8</v>
      </c>
      <c r="W35" s="0" t="n">
        <f aca="false">IF(LEFT(Treatments!AD3,3)="Yes",1,0)</f>
        <v>1</v>
      </c>
      <c r="X35" s="0" t="str">
        <f aca="false">Treatments!AE3</f>
        <v>Fatal &amp; injury only</v>
      </c>
      <c r="Y35" s="0" t="n">
        <f aca="false">IF($C$12="Any",5,IF($C$12=X35,5,IF(AND($C$12="Fatal &amp; injury only",X35="All crashes"),3,0)))</f>
        <v>5</v>
      </c>
      <c r="Z35" s="0" t="str">
        <f aca="false">Treatments!AE3&amp;" / "&amp;Treatments!AF3</f>
        <v>Fatal &amp; injury only / All crash types</v>
      </c>
      <c r="AA35" s="0" t="str">
        <f aca="false">IF(OR(Treatments!AH3="Overstates",Treatments!AH3="Check"),UPPER(Treatments!AH3)&amp;": "&amp;Treatments!AI3&amp;". ","")&amp;IF(Treatments!AG3="","",Treatments!AG3)</f>
        <v>Study roads: Principal Arterial Other Freeways and Expressways. Not for collectors or locals (team). No AADT range in the study.</v>
      </c>
    </row>
    <row r="36" customFormat="false" ht="12.75" hidden="true" customHeight="false" outlineLevel="0" collapsed="false">
      <c r="A36" s="0" t="n">
        <v>2</v>
      </c>
      <c r="B36" s="0" t="str">
        <f aca="false">Treatments!A4</f>
        <v>Implement Automated Speed Enforcement Cameras</v>
      </c>
      <c r="C36" s="0" t="str">
        <f aca="false">Treatments!B4</f>
        <v>CM: Appropriate Speed Limits for All Road Users</v>
      </c>
      <c r="D36" s="0" t="n">
        <f aca="false">Treatments!Q4</f>
        <v>54</v>
      </c>
      <c r="E36" s="0" t="n">
        <f aca="false">Treatments!P4</f>
        <v>0.46</v>
      </c>
      <c r="F36" s="0" t="n">
        <f aca="false">IF(ISNUMBER(Treatments!N4),Treatments!N4,0)</f>
        <v>4</v>
      </c>
      <c r="G36" s="0" t="str">
        <f aca="false">IF(ISNUMBER(Treatments!U4),Treatments!U4,"")</f>
        <v/>
      </c>
      <c r="H36" s="0" t="str">
        <f aca="false">IF(ISNUMBER(Treatments!V4),Treatments!V4,"")</f>
        <v/>
      </c>
      <c r="I36" s="0" t="s">
        <v>67</v>
      </c>
      <c r="J36" s="0" t="s">
        <v>68</v>
      </c>
      <c r="K36" s="0" t="s">
        <v>22</v>
      </c>
      <c r="L36" s="0" t="s">
        <v>69</v>
      </c>
      <c r="M36" s="0" t="n">
        <f aca="false">IF(ISNUMBER(SEARCH("|"&amp;$C$7&amp;"|",L36)),45,IF(ISNUMBER(SEARCH("|All|",L36)),18,0))</f>
        <v>18</v>
      </c>
      <c r="N36" s="0" t="n">
        <f aca="false">IF(OR($C$4="Any",I36="All"),12,IF(ISNUMBER(SEARCH($C$4,I36)),12,0))</f>
        <v>12</v>
      </c>
      <c r="O36" s="0" t="n">
        <f aca="false">IF(OR($C$5="Any",J36="Any",J36=$C$5),13,0)</f>
        <v>13</v>
      </c>
      <c r="P36" s="0" t="n">
        <f aca="false">IF(OR($C$6="Any",K36="Any",K36=$C$6),10,0)</f>
        <v>10</v>
      </c>
      <c r="Q36" s="0" t="n">
        <f aca="false">IF($C$8="",4,IF(AND(ISNUMBER(G36),ISNUMBER(H36)),IF(AND($C$8&gt;=G36,$C$8&lt;=H36),7,0),4))</f>
        <v>4</v>
      </c>
      <c r="R36" s="0" t="n">
        <f aca="false">M36+N36+O36+P36+Q36+V36+Y36</f>
        <v>70</v>
      </c>
      <c r="S36" s="0" t="n">
        <f aca="false">IF(OR(M36=0,W36=0),-A36,R36*100+D36+F36*0.5-A36*0.001)</f>
        <v>7055.998</v>
      </c>
      <c r="T36" s="0" t="str">
        <f aca="false">Treatments!M4</f>
        <v>Original </v>
      </c>
      <c r="U36" s="0" t="s">
        <v>71</v>
      </c>
      <c r="V36" s="0" t="n">
        <f aca="false">IF(OR($C$11="Any",U36="Any",U36=$C$11),8,0)</f>
        <v>8</v>
      </c>
      <c r="W36" s="0" t="n">
        <f aca="false">IF(LEFT(Treatments!AD4,3)="Yes",1,0)</f>
        <v>1</v>
      </c>
      <c r="X36" s="0" t="str">
        <f aca="false">Treatments!AE4</f>
        <v>All crashes</v>
      </c>
      <c r="Y36" s="0" t="n">
        <f aca="false">IF($C$12="Any",5,IF($C$12=X36,5,IF(AND($C$12="Fatal &amp; injury only",X36="All crashes"),3,0)))</f>
        <v>5</v>
      </c>
      <c r="Z36" s="0" t="str">
        <f aca="false">Treatments!AE4&amp;" / "&amp;Treatments!AF4</f>
        <v>All crashes / All crash types</v>
      </c>
      <c r="AA36" s="0" t="str">
        <f aca="false">IF(OR(Treatments!AH4="Overstates",Treatments!AH4="Check"),UPPER(Treatments!AH4)&amp;": "&amp;Treatments!AI4&amp;". ","")&amp;IF(Treatments!AG4="","",Treatments!AG4)</f>
        <v>No AADT range in the study.</v>
      </c>
    </row>
    <row r="37" customFormat="false" ht="12.75" hidden="true" customHeight="false" outlineLevel="0" collapsed="false">
      <c r="A37" s="0" t="n">
        <v>3</v>
      </c>
      <c r="B37" s="0" t="str">
        <f aca="false">Treatments!A5</f>
        <v>Install Variable Speed Limit (Vsl)</v>
      </c>
      <c r="C37" s="0" t="str">
        <f aca="false">Treatments!B5</f>
        <v>CM: Appropriate Speed Limits for All Road Users</v>
      </c>
      <c r="D37" s="0" t="n">
        <f aca="false">Treatments!Q5</f>
        <v>34</v>
      </c>
      <c r="E37" s="0" t="n">
        <f aca="false">Treatments!P5</f>
        <v>0.66</v>
      </c>
      <c r="F37" s="0" t="n">
        <f aca="false">IF(ISNUMBER(Treatments!N5),Treatments!N5,0)</f>
        <v>3</v>
      </c>
      <c r="G37" s="0" t="n">
        <f aca="false">IF(ISNUMBER(Treatments!U5),Treatments!U5,"")</f>
        <v>10194</v>
      </c>
      <c r="H37" s="0" t="n">
        <f aca="false">IF(ISNUMBER(Treatments!V5),Treatments!V5,"")</f>
        <v>11090</v>
      </c>
      <c r="I37" s="0" t="s">
        <v>72</v>
      </c>
      <c r="J37" s="0" t="s">
        <v>68</v>
      </c>
      <c r="K37" s="0" t="s">
        <v>22</v>
      </c>
      <c r="L37" s="0" t="s">
        <v>69</v>
      </c>
      <c r="M37" s="0" t="n">
        <f aca="false">IF(ISNUMBER(SEARCH("|"&amp;$C$7&amp;"|",L37)),45,IF(ISNUMBER(SEARCH("|All|",L37)),18,0))</f>
        <v>18</v>
      </c>
      <c r="N37" s="0" t="n">
        <f aca="false">IF(OR($C$4="Any",I37="All"),12,IF(ISNUMBER(SEARCH($C$4,I37)),12,0))</f>
        <v>12</v>
      </c>
      <c r="O37" s="0" t="n">
        <f aca="false">IF(OR($C$5="Any",J37="Any",J37=$C$5),13,0)</f>
        <v>13</v>
      </c>
      <c r="P37" s="0" t="n">
        <f aca="false">IF(OR($C$6="Any",K37="Any",K37=$C$6),10,0)</f>
        <v>10</v>
      </c>
      <c r="Q37" s="0" t="n">
        <f aca="false">IF($C$8="",4,IF(AND(ISNUMBER(G37),ISNUMBER(H37)),IF(AND($C$8&gt;=G37,$C$8&lt;=H37),7,0),4))</f>
        <v>4</v>
      </c>
      <c r="R37" s="0" t="n">
        <f aca="false">M37+N37+O37+P37+Q37+V37+Y37</f>
        <v>70</v>
      </c>
      <c r="S37" s="0" t="n">
        <f aca="false">IF(OR(M37=0,W37=0),-A37,R37*100+D37+F37*0.5-A37*0.001)</f>
        <v>7035.497</v>
      </c>
      <c r="T37" s="0" t="str">
        <f aca="false">Treatments!M5</f>
        <v>Original </v>
      </c>
      <c r="U37" s="0" t="s">
        <v>70</v>
      </c>
      <c r="V37" s="0" t="n">
        <f aca="false">IF(OR($C$11="Any",U37="Any",U37=$C$11),8,0)</f>
        <v>8</v>
      </c>
      <c r="W37" s="0" t="n">
        <f aca="false">IF(LEFT(Treatments!AD5,3)="Yes",1,0)</f>
        <v>1</v>
      </c>
      <c r="X37" s="0" t="str">
        <f aca="false">Treatments!AE5</f>
        <v>All crashes</v>
      </c>
      <c r="Y37" s="0" t="n">
        <f aca="false">IF($C$12="Any",5,IF($C$12=X37,5,IF(AND($C$12="Fatal &amp; injury only",X37="All crashes"),3,0)))</f>
        <v>5</v>
      </c>
      <c r="Z37" s="0" t="str">
        <f aca="false">Treatments!AE5&amp;" / "&amp;Treatments!AF5</f>
        <v>All crashes / All crash types</v>
      </c>
      <c r="AA37" s="0" t="str">
        <f aca="false">IF(OR(Treatments!AH5="Overstates",Treatments!AH5="Check"),UPPER(Treatments!AH5)&amp;": "&amp;Treatments!AI5&amp;". ","")&amp;IF(Treatments!AG5="","",Treatments!AG5)</f>
        <v>Study roads: Principal Arterial Interstate. Not for collectors or locals (team). Study AADT is below the SC average for this class (~17,000). AADT tested: 10,194-11,090.</v>
      </c>
    </row>
    <row r="38" customFormat="false" ht="12.75" hidden="true" customHeight="false" outlineLevel="0" collapsed="false">
      <c r="A38" s="0" t="n">
        <v>4</v>
      </c>
      <c r="B38" s="0" t="str">
        <f aca="false">Treatments!A6</f>
        <v>Install Variable Speed Limit</v>
      </c>
      <c r="C38" s="0" t="str">
        <f aca="false">Treatments!B6</f>
        <v>CM: Appropriate Speed Limits for All Road Users</v>
      </c>
      <c r="D38" s="0" t="n">
        <f aca="false">Treatments!Q6</f>
        <v>13.9</v>
      </c>
      <c r="E38" s="0" t="n">
        <f aca="false">Treatments!P6</f>
        <v>0.861</v>
      </c>
      <c r="F38" s="0" t="n">
        <f aca="false">IF(ISNUMBER(Treatments!N6),Treatments!N6,0)</f>
        <v>4</v>
      </c>
      <c r="G38" s="0" t="n">
        <f aca="false">IF(ISNUMBER(Treatments!U6),Treatments!U6,"")</f>
        <v>53729</v>
      </c>
      <c r="H38" s="0" t="n">
        <f aca="false">IF(ISNUMBER(Treatments!V6),Treatments!V6,"")</f>
        <v>282619</v>
      </c>
      <c r="I38" s="0" t="s">
        <v>72</v>
      </c>
      <c r="J38" s="0" t="s">
        <v>68</v>
      </c>
      <c r="K38" s="0" t="s">
        <v>22</v>
      </c>
      <c r="L38" s="0" t="s">
        <v>69</v>
      </c>
      <c r="M38" s="0" t="n">
        <f aca="false">IF(ISNUMBER(SEARCH("|"&amp;$C$7&amp;"|",L38)),45,IF(ISNUMBER(SEARCH("|All|",L38)),18,0))</f>
        <v>18</v>
      </c>
      <c r="N38" s="0" t="n">
        <f aca="false">IF(OR($C$4="Any",I38="All"),12,IF(ISNUMBER(SEARCH($C$4,I38)),12,0))</f>
        <v>12</v>
      </c>
      <c r="O38" s="0" t="n">
        <f aca="false">IF(OR($C$5="Any",J38="Any",J38=$C$5),13,0)</f>
        <v>13</v>
      </c>
      <c r="P38" s="0" t="n">
        <f aca="false">IF(OR($C$6="Any",K38="Any",K38=$C$6),10,0)</f>
        <v>10</v>
      </c>
      <c r="Q38" s="0" t="n">
        <f aca="false">IF($C$8="",4,IF(AND(ISNUMBER(G38),ISNUMBER(H38)),IF(AND($C$8&gt;=G38,$C$8&lt;=H38),7,0),4))</f>
        <v>4</v>
      </c>
      <c r="R38" s="0" t="n">
        <f aca="false">M38+N38+O38+P38+Q38+V38+Y38</f>
        <v>70</v>
      </c>
      <c r="S38" s="0" t="n">
        <f aca="false">IF(OR(M38=0,W38=0),-A38,R38*100+D38+F38*0.5-A38*0.001)</f>
        <v>7015.896</v>
      </c>
      <c r="T38" s="0" t="str">
        <f aca="false">Treatments!M6</f>
        <v>Added  </v>
      </c>
      <c r="U38" s="0" t="s">
        <v>70</v>
      </c>
      <c r="V38" s="0" t="n">
        <f aca="false">IF(OR($C$11="Any",U38="Any",U38=$C$11),8,0)</f>
        <v>8</v>
      </c>
      <c r="W38" s="0" t="n">
        <f aca="false">IF(LEFT(Treatments!AD6,3)="Yes",1,0)</f>
        <v>1</v>
      </c>
      <c r="X38" s="0" t="str">
        <f aca="false">Treatments!AE6</f>
        <v>Fatal &amp; injury only</v>
      </c>
      <c r="Y38" s="0" t="n">
        <f aca="false">IF($C$12="Any",5,IF($C$12=X38,5,IF(AND($C$12="Fatal &amp; injury only",X38="All crashes"),3,0)))</f>
        <v>5</v>
      </c>
      <c r="Z38" s="0" t="str">
        <f aca="false">Treatments!AE6&amp;" / "&amp;Treatments!AF6</f>
        <v>Fatal &amp; injury only / All crash types</v>
      </c>
      <c r="AA38" s="0" t="str">
        <f aca="false">IF(OR(Treatments!AH6="Overstates",Treatments!AH6="Check"),UPPER(Treatments!AH6)&amp;": "&amp;Treatments!AI6&amp;". ","")&amp;IF(Treatments!AG6="","",Treatments!AG6)</f>
        <v>Study roads: Principal Arterial Interstate. Not for collectors or locals (team). AADT tested: 53,729-282,619.</v>
      </c>
    </row>
    <row r="39" customFormat="false" ht="12.75" hidden="true" customHeight="false" outlineLevel="0" collapsed="false">
      <c r="A39" s="0" t="n">
        <v>5</v>
      </c>
      <c r="B39" s="0" t="str">
        <f aca="false">Treatments!A7</f>
        <v>Install Dynamic Speed Feedback Sign</v>
      </c>
      <c r="C39" s="0" t="str">
        <f aca="false">Treatments!B7</f>
        <v>CM: Appropriate Speed Limits for All Road Users</v>
      </c>
      <c r="D39" s="0" t="n">
        <f aca="false">Treatments!Q7</f>
        <v>7</v>
      </c>
      <c r="E39" s="0" t="n">
        <f aca="false">Treatments!P7</f>
        <v>0.93</v>
      </c>
      <c r="F39" s="0" t="n">
        <f aca="false">IF(ISNUMBER(Treatments!N7),Treatments!N7,0)</f>
        <v>4</v>
      </c>
      <c r="G39" s="0" t="n">
        <f aca="false">IF(ISNUMBER(Treatments!U7),Treatments!U7,"")</f>
        <v>400</v>
      </c>
      <c r="H39" s="0" t="n">
        <f aca="false">IF(ISNUMBER(Treatments!V7),Treatments!V7,"")</f>
        <v>8400</v>
      </c>
      <c r="I39" s="0" t="s">
        <v>73</v>
      </c>
      <c r="J39" s="0" t="s">
        <v>68</v>
      </c>
      <c r="K39" s="0" t="s">
        <v>22</v>
      </c>
      <c r="L39" s="0" t="s">
        <v>69</v>
      </c>
      <c r="M39" s="0" t="n">
        <f aca="false">IF(ISNUMBER(SEARCH("|"&amp;$C$7&amp;"|",L39)),45,IF(ISNUMBER(SEARCH("|All|",L39)),18,0))</f>
        <v>18</v>
      </c>
      <c r="N39" s="0" t="n">
        <f aca="false">IF(OR($C$4="Any",I39="All"),12,IF(ISNUMBER(SEARCH($C$4,I39)),12,0))</f>
        <v>12</v>
      </c>
      <c r="O39" s="0" t="n">
        <f aca="false">IF(OR($C$5="Any",J39="Any",J39=$C$5),13,0)</f>
        <v>13</v>
      </c>
      <c r="P39" s="0" t="n">
        <f aca="false">IF(OR($C$6="Any",K39="Any",K39=$C$6),10,0)</f>
        <v>10</v>
      </c>
      <c r="Q39" s="0" t="n">
        <f aca="false">IF($C$8="",4,IF(AND(ISNUMBER(G39),ISNUMBER(H39)),IF(AND($C$8&gt;=G39,$C$8&lt;=H39),7,0),4))</f>
        <v>4</v>
      </c>
      <c r="R39" s="0" t="n">
        <f aca="false">M39+N39+O39+P39+Q39+V39+Y39</f>
        <v>70</v>
      </c>
      <c r="S39" s="0" t="n">
        <f aca="false">IF(OR(M39=0,W39=0),-A39,R39*100+D39+F39*0.5-A39*0.001)</f>
        <v>7008.995</v>
      </c>
      <c r="T39" s="0" t="str">
        <f aca="false">Treatments!M7</f>
        <v>Added  </v>
      </c>
      <c r="U39" s="0" t="s">
        <v>22</v>
      </c>
      <c r="V39" s="0" t="n">
        <f aca="false">IF(OR($C$11="Any",U39="Any",U39=$C$11),8,0)</f>
        <v>8</v>
      </c>
      <c r="W39" s="0" t="n">
        <f aca="false">IF(LEFT(Treatments!AD7,3)="Yes",1,0)</f>
        <v>1</v>
      </c>
      <c r="X39" s="0" t="str">
        <f aca="false">Treatments!AE7</f>
        <v>All crashes</v>
      </c>
      <c r="Y39" s="0" t="n">
        <f aca="false">IF($C$12="Any",5,IF($C$12=X39,5,IF(AND($C$12="Fatal &amp; injury only",X39="All crashes"),3,0)))</f>
        <v>5</v>
      </c>
      <c r="Z39" s="0" t="str">
        <f aca="false">Treatments!AE7&amp;" / "&amp;Treatments!AF7</f>
        <v>All crashes / All crash types</v>
      </c>
      <c r="AA39" s="0" t="str">
        <f aca="false">IF(OR(Treatments!AH7="Overstates",Treatments!AH7="Check"),UPPER(Treatments!AH7)&amp;": "&amp;Treatments!AI7&amp;". ","")&amp;IF(Treatments!AG7="","",Treatments!AG7)</f>
        <v>AADT tested: 400-8,400.</v>
      </c>
    </row>
    <row r="40" customFormat="false" ht="12.75" hidden="true" customHeight="false" outlineLevel="0" collapsed="false">
      <c r="A40" s="0" t="n">
        <v>6</v>
      </c>
      <c r="B40" s="0" t="str">
        <f aca="false">Treatments!A8</f>
        <v>Install Automated Section Speed Enforcement System</v>
      </c>
      <c r="C40" s="0" t="str">
        <f aca="false">Treatments!B8</f>
        <v>CM: Appropriate Speed Limits for All Road Users</v>
      </c>
      <c r="D40" s="0" t="n">
        <f aca="false">Treatments!Q8</f>
        <v>43.7</v>
      </c>
      <c r="E40" s="0" t="n">
        <f aca="false">Treatments!P8</f>
        <v>0.563</v>
      </c>
      <c r="F40" s="0" t="n">
        <f aca="false">IF(ISNUMBER(Treatments!N8),Treatments!N8,0)</f>
        <v>5</v>
      </c>
      <c r="G40" s="0" t="str">
        <f aca="false">IF(ISNUMBER(Treatments!U8),Treatments!U8,"")</f>
        <v/>
      </c>
      <c r="H40" s="0" t="str">
        <f aca="false">IF(ISNUMBER(Treatments!V8),Treatments!V8,"")</f>
        <v/>
      </c>
      <c r="I40" s="0" t="s">
        <v>67</v>
      </c>
      <c r="J40" s="0" t="s">
        <v>68</v>
      </c>
      <c r="K40" s="0" t="s">
        <v>22</v>
      </c>
      <c r="L40" s="0" t="s">
        <v>74</v>
      </c>
      <c r="M40" s="0" t="n">
        <f aca="false">IF(ISNUMBER(SEARCH("|"&amp;$C$7&amp;"|",L40)),45,IF(ISNUMBER(SEARCH("|All|",L40)),18,0))</f>
        <v>0</v>
      </c>
      <c r="N40" s="0" t="n">
        <f aca="false">IF(OR($C$4="Any",I40="All"),12,IF(ISNUMBER(SEARCH($C$4,I40)),12,0))</f>
        <v>12</v>
      </c>
      <c r="O40" s="0" t="n">
        <f aca="false">IF(OR($C$5="Any",J40="Any",J40=$C$5),13,0)</f>
        <v>13</v>
      </c>
      <c r="P40" s="0" t="n">
        <f aca="false">IF(OR($C$6="Any",K40="Any",K40=$C$6),10,0)</f>
        <v>10</v>
      </c>
      <c r="Q40" s="0" t="n">
        <f aca="false">IF($C$8="",4,IF(AND(ISNUMBER(G40),ISNUMBER(H40)),IF(AND($C$8&gt;=G40,$C$8&lt;=H40),7,0),4))</f>
        <v>4</v>
      </c>
      <c r="R40" s="0" t="n">
        <f aca="false">M40+N40+O40+P40+Q40+V40+Y40</f>
        <v>52</v>
      </c>
      <c r="S40" s="0" t="n">
        <f aca="false">IF(OR(M40=0,W40=0),-A40,R40*100+D40+F40*0.5-A40*0.001)</f>
        <v>-6</v>
      </c>
      <c r="T40" s="0" t="str">
        <f aca="false">Treatments!M8</f>
        <v>Added  </v>
      </c>
      <c r="U40" s="0" t="s">
        <v>70</v>
      </c>
      <c r="V40" s="0" t="n">
        <f aca="false">IF(OR($C$11="Any",U40="Any",U40=$C$11),8,0)</f>
        <v>8</v>
      </c>
      <c r="W40" s="0" t="n">
        <f aca="false">IF(LEFT(Treatments!AD8,3)="Yes",1,0)</f>
        <v>1</v>
      </c>
      <c r="X40" s="0" t="str">
        <f aca="false">Treatments!AE8</f>
        <v>All crashes</v>
      </c>
      <c r="Y40" s="0" t="n">
        <f aca="false">IF($C$12="Any",5,IF($C$12=X40,5,IF(AND($C$12="Fatal &amp; injury only",X40="All crashes"),3,0)))</f>
        <v>5</v>
      </c>
      <c r="Z40" s="0" t="str">
        <f aca="false">Treatments!AE8&amp;" / "&amp;Treatments!AF8</f>
        <v>All crashes / Only: Single vehicle</v>
      </c>
      <c r="AA40" s="0" t="str">
        <f aca="false">IF(OR(Treatments!AH8="Overstates",Treatments!AH8="Check"),UPPER(Treatments!AH8)&amp;": "&amp;Treatments!AI8&amp;". ","")&amp;IF(Treatments!AG8="","",Treatments!AG8)</f>
        <v>OVERSTATES: Single-vehicle crashes only. Study roads: Principal Arterial Other Freeways and Expressways. Not for collectors or locals (team). No AADT range in the study.</v>
      </c>
    </row>
    <row r="41" customFormat="false" ht="12.75" hidden="true" customHeight="false" outlineLevel="0" collapsed="false">
      <c r="A41" s="0" t="n">
        <v>7</v>
      </c>
      <c r="B41" s="0" t="str">
        <f aca="false">Treatments!A9</f>
        <v>Implement Mobile Automated Speed Enforcement System</v>
      </c>
      <c r="C41" s="0" t="str">
        <f aca="false">Treatments!B9</f>
        <v>CM: Appropriate Speed Limits for All Road Users</v>
      </c>
      <c r="D41" s="0" t="n">
        <f aca="false">Treatments!Q9</f>
        <v>20.1</v>
      </c>
      <c r="E41" s="0" t="n">
        <f aca="false">Treatments!P9</f>
        <v>0.799</v>
      </c>
      <c r="F41" s="0" t="n">
        <f aca="false">IF(ISNUMBER(Treatments!N9),Treatments!N9,0)</f>
        <v>5</v>
      </c>
      <c r="G41" s="0" t="n">
        <f aca="false">IF(ISNUMBER(Treatments!U9),Treatments!U9,"")</f>
        <v>2079</v>
      </c>
      <c r="H41" s="0" t="n">
        <f aca="false">IF(ISNUMBER(Treatments!V9),Treatments!V9,"")</f>
        <v>22960</v>
      </c>
      <c r="I41" s="0" t="s">
        <v>67</v>
      </c>
      <c r="J41" s="0" t="s">
        <v>68</v>
      </c>
      <c r="K41" s="0" t="s">
        <v>22</v>
      </c>
      <c r="L41" s="0" t="s">
        <v>69</v>
      </c>
      <c r="M41" s="0" t="n">
        <f aca="false">IF(ISNUMBER(SEARCH("|"&amp;$C$7&amp;"|",L41)),45,IF(ISNUMBER(SEARCH("|All|",L41)),18,0))</f>
        <v>18</v>
      </c>
      <c r="N41" s="0" t="n">
        <f aca="false">IF(OR($C$4="Any",I41="All"),12,IF(ISNUMBER(SEARCH($C$4,I41)),12,0))</f>
        <v>12</v>
      </c>
      <c r="O41" s="0" t="n">
        <f aca="false">IF(OR($C$5="Any",J41="Any",J41=$C$5),13,0)</f>
        <v>13</v>
      </c>
      <c r="P41" s="0" t="n">
        <f aca="false">IF(OR($C$6="Any",K41="Any",K41=$C$6),10,0)</f>
        <v>10</v>
      </c>
      <c r="Q41" s="0" t="n">
        <f aca="false">IF($C$8="",4,IF(AND(ISNUMBER(G41),ISNUMBER(H41)),IF(AND($C$8&gt;=G41,$C$8&lt;=H41),7,0),4))</f>
        <v>4</v>
      </c>
      <c r="R41" s="0" t="n">
        <f aca="false">M41+N41+O41+P41+Q41+V41+Y41</f>
        <v>70</v>
      </c>
      <c r="S41" s="0" t="n">
        <f aca="false">IF(OR(M41=0,W41=0),-A41,R41*100+D41+F41*0.5-A41*0.001)</f>
        <v>7022.593</v>
      </c>
      <c r="T41" s="0" t="str">
        <f aca="false">Treatments!M9</f>
        <v>Added  </v>
      </c>
      <c r="U41" s="0" t="s">
        <v>71</v>
      </c>
      <c r="V41" s="0" t="n">
        <f aca="false">IF(OR($C$11="Any",U41="Any",U41=$C$11),8,0)</f>
        <v>8</v>
      </c>
      <c r="W41" s="0" t="n">
        <f aca="false">IF(LEFT(Treatments!AD9,3)="Yes",1,0)</f>
        <v>1</v>
      </c>
      <c r="X41" s="0" t="str">
        <f aca="false">Treatments!AE9</f>
        <v>Fatal &amp; injury only</v>
      </c>
      <c r="Y41" s="0" t="n">
        <f aca="false">IF($C$12="Any",5,IF($C$12=X41,5,IF(AND($C$12="Fatal &amp; injury only",X41="All crashes"),3,0)))</f>
        <v>5</v>
      </c>
      <c r="Z41" s="0" t="str">
        <f aca="false">Treatments!AE9&amp;" / "&amp;Treatments!AF9</f>
        <v>Fatal &amp; injury only / All crash types</v>
      </c>
      <c r="AA41" s="0" t="str">
        <f aca="false">IF(OR(Treatments!AH9="Overstates",Treatments!AH9="Check"),UPPER(Treatments!AH9)&amp;": "&amp;Treatments!AI9&amp;". ","")&amp;IF(Treatments!AG9="","",Treatments!AG9)</f>
        <v>AADT tested: 2,079-22,960.</v>
      </c>
    </row>
    <row r="42" customFormat="false" ht="12.75" hidden="true" customHeight="false" outlineLevel="0" collapsed="false">
      <c r="A42" s="0" t="n">
        <v>8</v>
      </c>
      <c r="B42" s="0" t="str">
        <f aca="false">Treatments!A10</f>
        <v>Implement Automated Speed Enforcement Cameras</v>
      </c>
      <c r="C42" s="0" t="str">
        <f aca="false">Treatments!B10</f>
        <v>CM: Appropriate Speed Limits for All Road Users</v>
      </c>
      <c r="D42" s="0" t="n">
        <f aca="false">Treatments!Q10</f>
        <v>67</v>
      </c>
      <c r="E42" s="0" t="n">
        <f aca="false">Treatments!P10</f>
        <v>0.33</v>
      </c>
      <c r="F42" s="0" t="n">
        <f aca="false">IF(ISNUMBER(Treatments!N10),Treatments!N10,0)</f>
        <v>4</v>
      </c>
      <c r="G42" s="0" t="str">
        <f aca="false">IF(ISNUMBER(Treatments!U10),Treatments!U10,"")</f>
        <v/>
      </c>
      <c r="H42" s="0" t="str">
        <f aca="false">IF(ISNUMBER(Treatments!V10),Treatments!V10,"")</f>
        <v/>
      </c>
      <c r="I42" s="0" t="s">
        <v>67</v>
      </c>
      <c r="J42" s="0" t="s">
        <v>68</v>
      </c>
      <c r="K42" s="0" t="s">
        <v>22</v>
      </c>
      <c r="L42" s="0" t="s">
        <v>74</v>
      </c>
      <c r="M42" s="0" t="n">
        <f aca="false">IF(ISNUMBER(SEARCH("|"&amp;$C$7&amp;"|",L42)),45,IF(ISNUMBER(SEARCH("|All|",L42)),18,0))</f>
        <v>0</v>
      </c>
      <c r="N42" s="0" t="n">
        <f aca="false">IF(OR($C$4="Any",I42="All"),12,IF(ISNUMBER(SEARCH($C$4,I42)),12,0))</f>
        <v>12</v>
      </c>
      <c r="O42" s="0" t="n">
        <f aca="false">IF(OR($C$5="Any",J42="Any",J42=$C$5),13,0)</f>
        <v>13</v>
      </c>
      <c r="P42" s="0" t="n">
        <f aca="false">IF(OR($C$6="Any",K42="Any",K42=$C$6),10,0)</f>
        <v>10</v>
      </c>
      <c r="Q42" s="0" t="n">
        <f aca="false">IF($C$8="",4,IF(AND(ISNUMBER(G42),ISNUMBER(H42)),IF(AND($C$8&gt;=G42,$C$8&lt;=H42),7,0),4))</f>
        <v>4</v>
      </c>
      <c r="R42" s="0" t="n">
        <f aca="false">M42+N42+O42+P42+Q42+V42+Y42</f>
        <v>52</v>
      </c>
      <c r="S42" s="0" t="n">
        <f aca="false">IF(OR(M42=0,W42=0),-A42,R42*100+D42+F42*0.5-A42*0.001)</f>
        <v>-8</v>
      </c>
      <c r="T42" s="0" t="str">
        <f aca="false">Treatments!M10</f>
        <v>Added  </v>
      </c>
      <c r="U42" s="0" t="s">
        <v>71</v>
      </c>
      <c r="V42" s="0" t="n">
        <f aca="false">IF(OR($C$11="Any",U42="Any",U42=$C$11),8,0)</f>
        <v>8</v>
      </c>
      <c r="W42" s="0" t="n">
        <f aca="false">IF(LEFT(Treatments!AD10,3)="Yes",1,0)</f>
        <v>1</v>
      </c>
      <c r="X42" s="0" t="str">
        <f aca="false">Treatments!AE10</f>
        <v>PDO only</v>
      </c>
      <c r="Y42" s="0" t="n">
        <f aca="false">IF($C$12="Any",5,IF($C$12=X42,5,IF(AND($C$12="Fatal &amp; injury only",X42="All crashes"),3,0)))</f>
        <v>5</v>
      </c>
      <c r="Z42" s="0" t="str">
        <f aca="false">Treatments!AE10&amp;" / "&amp;Treatments!AF10</f>
        <v>PDO only / Only: Single vehicle</v>
      </c>
      <c r="AA42" s="0" t="str">
        <f aca="false">IF(OR(Treatments!AH10="Overstates",Treatments!AH10="Check"),UPPER(Treatments!AH10)&amp;": "&amp;Treatments!AI10&amp;". ","")&amp;IF(Treatments!AG10="","",Treatments!AG10)</f>
        <v>OVERSTATES: Single-vehicle, PDO, off-peak only. No AADT range in the study.</v>
      </c>
    </row>
    <row r="43" customFormat="false" ht="12.75" hidden="true" customHeight="false" outlineLevel="0" collapsed="false">
      <c r="A43" s="0" t="n">
        <v>9</v>
      </c>
      <c r="B43" s="0" t="str">
        <f aca="false">Treatments!A11</f>
        <v>Install Automated Section Speed Enforcement System On Curves</v>
      </c>
      <c r="C43" s="0" t="str">
        <f aca="false">Treatments!B11</f>
        <v>CM: Appropriate Speed Limits for All Road Users</v>
      </c>
      <c r="D43" s="0" t="n">
        <f aca="false">Treatments!Q11</f>
        <v>43</v>
      </c>
      <c r="E43" s="0" t="n">
        <f aca="false">Treatments!P11</f>
        <v>0.57</v>
      </c>
      <c r="F43" s="0" t="n">
        <f aca="false">IF(ISNUMBER(Treatments!N11),Treatments!N11,0)</f>
        <v>4</v>
      </c>
      <c r="G43" s="0" t="n">
        <f aca="false">IF(ISNUMBER(Treatments!U11),Treatments!U11,"")</f>
        <v>23000</v>
      </c>
      <c r="H43" s="0" t="n">
        <f aca="false">IF(ISNUMBER(Treatments!V11),Treatments!V11,"")</f>
        <v>42000</v>
      </c>
      <c r="I43" s="0" t="s">
        <v>72</v>
      </c>
      <c r="J43" s="0" t="s">
        <v>68</v>
      </c>
      <c r="K43" s="0" t="s">
        <v>22</v>
      </c>
      <c r="L43" s="0" t="s">
        <v>69</v>
      </c>
      <c r="M43" s="0" t="n">
        <f aca="false">IF(ISNUMBER(SEARCH("|"&amp;$C$7&amp;"|",L43)),45,IF(ISNUMBER(SEARCH("|All|",L43)),18,0))</f>
        <v>18</v>
      </c>
      <c r="N43" s="0" t="n">
        <f aca="false">IF(OR($C$4="Any",I43="All"),12,IF(ISNUMBER(SEARCH($C$4,I43)),12,0))</f>
        <v>12</v>
      </c>
      <c r="O43" s="0" t="n">
        <f aca="false">IF(OR($C$5="Any",J43="Any",J43=$C$5),13,0)</f>
        <v>13</v>
      </c>
      <c r="P43" s="0" t="n">
        <f aca="false">IF(OR($C$6="Any",K43="Any",K43=$C$6),10,0)</f>
        <v>10</v>
      </c>
      <c r="Q43" s="0" t="n">
        <f aca="false">IF($C$8="",4,IF(AND(ISNUMBER(G43),ISNUMBER(H43)),IF(AND($C$8&gt;=G43,$C$8&lt;=H43),7,0),4))</f>
        <v>4</v>
      </c>
      <c r="R43" s="0" t="n">
        <f aca="false">M43+N43+O43+P43+Q43+V43+Y43</f>
        <v>70</v>
      </c>
      <c r="S43" s="0" t="n">
        <f aca="false">IF(OR(M43=0,W43=0),-A43,R43*100+D43+F43*0.5-A43*0.001)</f>
        <v>7044.991</v>
      </c>
      <c r="T43" s="0" t="str">
        <f aca="false">Treatments!M11</f>
        <v>Added  </v>
      </c>
      <c r="U43" s="0" t="s">
        <v>70</v>
      </c>
      <c r="V43" s="0" t="n">
        <f aca="false">IF(OR($C$11="Any",U43="Any",U43=$C$11),8,0)</f>
        <v>8</v>
      </c>
      <c r="W43" s="0" t="n">
        <f aca="false">IF(LEFT(Treatments!AD11,3)="Yes",1,0)</f>
        <v>1</v>
      </c>
      <c r="X43" s="0" t="str">
        <f aca="false">Treatments!AE11</f>
        <v>All crashes</v>
      </c>
      <c r="Y43" s="0" t="n">
        <f aca="false">IF($C$12="Any",5,IF($C$12=X43,5,IF(AND($C$12="Fatal &amp; injury only",X43="All crashes"),3,0)))</f>
        <v>5</v>
      </c>
      <c r="Z43" s="0" t="str">
        <f aca="false">Treatments!AE11&amp;" / "&amp;Treatments!AF11</f>
        <v>All crashes / All crash types</v>
      </c>
      <c r="AA43" s="0" t="str">
        <f aca="false">IF(OR(Treatments!AH11="Overstates",Treatments!AH11="Check"),UPPER(Treatments!AH11)&amp;": "&amp;Treatments!AI11&amp;". ","")&amp;IF(Treatments!AG11="","",Treatments!AG11)</f>
        <v>Study roads: Principal Arterial Other Freeways and Expressways. Not for collectors or locals (team). AADT tested: 23,000-42,000.</v>
      </c>
    </row>
    <row r="44" customFormat="false" ht="12.75" hidden="true" customHeight="false" outlineLevel="0" collapsed="false">
      <c r="A44" s="0" t="n">
        <v>10</v>
      </c>
      <c r="B44" s="0" t="str">
        <f aca="false">Treatments!A12</f>
        <v>Convert Traditional Or Flush Buffered Bike Lane To Sbl With Flexi-Posts</v>
      </c>
      <c r="C44" s="0" t="str">
        <f aca="false">Treatments!B12</f>
        <v>CM: Bicycle Lanes</v>
      </c>
      <c r="D44" s="0" t="n">
        <f aca="false">Treatments!Q12</f>
        <v>53.2</v>
      </c>
      <c r="E44" s="0" t="n">
        <f aca="false">Treatments!P12</f>
        <v>0.468</v>
      </c>
      <c r="F44" s="0" t="n">
        <f aca="false">IF(ISNUMBER(Treatments!N12),Treatments!N12,0)</f>
        <v>4</v>
      </c>
      <c r="G44" s="0" t="str">
        <f aca="false">IF(ISNUMBER(Treatments!U12),Treatments!U12,"")</f>
        <v/>
      </c>
      <c r="H44" s="0" t="str">
        <f aca="false">IF(ISNUMBER(Treatments!V12),Treatments!V12,"")</f>
        <v/>
      </c>
      <c r="I44" s="0" t="s">
        <v>67</v>
      </c>
      <c r="J44" s="0" t="s">
        <v>68</v>
      </c>
      <c r="K44" s="0" t="s">
        <v>22</v>
      </c>
      <c r="L44" s="0" t="s">
        <v>75</v>
      </c>
      <c r="M44" s="0" t="n">
        <f aca="false">IF(ISNUMBER(SEARCH("|"&amp;$C$7&amp;"|",L44)),45,IF(ISNUMBER(SEARCH("|All|",L44)),18,0))</f>
        <v>0</v>
      </c>
      <c r="N44" s="0" t="n">
        <f aca="false">IF(OR($C$4="Any",I44="All"),12,IF(ISNUMBER(SEARCH($C$4,I44)),12,0))</f>
        <v>12</v>
      </c>
      <c r="O44" s="0" t="n">
        <f aca="false">IF(OR($C$5="Any",J44="Any",J44=$C$5),13,0)</f>
        <v>13</v>
      </c>
      <c r="P44" s="0" t="n">
        <f aca="false">IF(OR($C$6="Any",K44="Any",K44=$C$6),10,0)</f>
        <v>10</v>
      </c>
      <c r="Q44" s="0" t="n">
        <f aca="false">IF($C$8="",4,IF(AND(ISNUMBER(G44),ISNUMBER(H44)),IF(AND($C$8&gt;=G44,$C$8&lt;=H44),7,0),4))</f>
        <v>4</v>
      </c>
      <c r="R44" s="0" t="n">
        <f aca="false">M44+N44+O44+P44+Q44+V44+Y44</f>
        <v>52</v>
      </c>
      <c r="S44" s="0" t="n">
        <f aca="false">IF(OR(M44=0,W44=0),-A44,R44*100+D44+F44*0.5-A44*0.001)</f>
        <v>-10</v>
      </c>
      <c r="T44" s="0" t="str">
        <f aca="false">Treatments!M12</f>
        <v>Original </v>
      </c>
      <c r="U44" s="0" t="s">
        <v>22</v>
      </c>
      <c r="V44" s="0" t="n">
        <f aca="false">IF(OR($C$11="Any",U44="Any",U44=$C$11),8,0)</f>
        <v>8</v>
      </c>
      <c r="W44" s="0" t="n">
        <f aca="false">IF(LEFT(Treatments!AD12,3)="Yes",1,0)</f>
        <v>1</v>
      </c>
      <c r="X44" s="0" t="str">
        <f aca="false">Treatments!AE12</f>
        <v>All crashes</v>
      </c>
      <c r="Y44" s="0" t="n">
        <f aca="false">IF($C$12="Any",5,IF($C$12=X44,5,IF(AND($C$12="Fatal &amp; injury only",X44="All crashes"),3,0)))</f>
        <v>5</v>
      </c>
      <c r="Z44" s="0" t="str">
        <f aca="false">Treatments!AE12&amp;" / "&amp;Treatments!AF12</f>
        <v>All crashes / Only: Vehicle/bicycle</v>
      </c>
      <c r="AA44" s="0" t="str">
        <f aca="false">IF(OR(Treatments!AH12="Overstates",Treatments!AH12="Check"),UPPER(Treatments!AH12)&amp;": "&amp;Treatments!AI12&amp;". ","")&amp;IF(Treatments!AG12="","",Treatments!AG12)</f>
        <v>No AADT range in the study.</v>
      </c>
    </row>
    <row r="45" customFormat="false" ht="12.75" hidden="true" customHeight="false" outlineLevel="0" collapsed="false">
      <c r="A45" s="0" t="n">
        <v>11</v>
      </c>
      <c r="B45" s="0" t="str">
        <f aca="false">Treatments!A13</f>
        <v>Install Bicycle Lanes</v>
      </c>
      <c r="C45" s="0" t="str">
        <f aca="false">Treatments!B13</f>
        <v>CM: Bicycle Lanes</v>
      </c>
      <c r="D45" s="0" t="n">
        <f aca="false">Treatments!Q13</f>
        <v>49</v>
      </c>
      <c r="E45" s="0" t="n">
        <f aca="false">Treatments!P13</f>
        <v>0.51</v>
      </c>
      <c r="F45" s="0" t="n">
        <f aca="false">IF(ISNUMBER(Treatments!N13),Treatments!N13,0)</f>
        <v>4</v>
      </c>
      <c r="G45" s="0" t="n">
        <f aca="false">IF(ISNUMBER(Treatments!U13),Treatments!U13,"")</f>
        <v>10</v>
      </c>
      <c r="H45" s="0" t="n">
        <f aca="false">IF(ISNUMBER(Treatments!V13),Treatments!V13,"")</f>
        <v>92462</v>
      </c>
      <c r="I45" s="0" t="s">
        <v>67</v>
      </c>
      <c r="J45" s="0" t="s">
        <v>68</v>
      </c>
      <c r="K45" s="0" t="s">
        <v>22</v>
      </c>
      <c r="L45" s="0" t="s">
        <v>76</v>
      </c>
      <c r="M45" s="0" t="n">
        <f aca="false">IF(ISNUMBER(SEARCH("|"&amp;$C$7&amp;"|",L45)),45,IF(ISNUMBER(SEARCH("|All|",L45)),18,0))</f>
        <v>18</v>
      </c>
      <c r="N45" s="0" t="n">
        <f aca="false">IF(OR($C$4="Any",I45="All"),12,IF(ISNUMBER(SEARCH($C$4,I45)),12,0))</f>
        <v>12</v>
      </c>
      <c r="O45" s="0" t="n">
        <f aca="false">IF(OR($C$5="Any",J45="Any",J45=$C$5),13,0)</f>
        <v>13</v>
      </c>
      <c r="P45" s="0" t="n">
        <f aca="false">IF(OR($C$6="Any",K45="Any",K45=$C$6),10,0)</f>
        <v>10</v>
      </c>
      <c r="Q45" s="0" t="n">
        <f aca="false">IF($C$8="",4,IF(AND(ISNUMBER(G45),ISNUMBER(H45)),IF(AND($C$8&gt;=G45,$C$8&lt;=H45),7,0),4))</f>
        <v>4</v>
      </c>
      <c r="R45" s="0" t="n">
        <f aca="false">M45+N45+O45+P45+Q45+V45+Y45</f>
        <v>70</v>
      </c>
      <c r="S45" s="0" t="n">
        <f aca="false">IF(OR(M45=0,W45=0),-A45,R45*100+D45+F45*0.5-A45*0.001)</f>
        <v>7050.989</v>
      </c>
      <c r="T45" s="0" t="str">
        <f aca="false">Treatments!M13</f>
        <v>Original </v>
      </c>
      <c r="U45" s="0" t="s">
        <v>22</v>
      </c>
      <c r="V45" s="0" t="n">
        <f aca="false">IF(OR($C$11="Any",U45="Any",U45=$C$11),8,0)</f>
        <v>8</v>
      </c>
      <c r="W45" s="0" t="n">
        <f aca="false">IF(LEFT(Treatments!AD13,3)="Yes",1,0)</f>
        <v>1</v>
      </c>
      <c r="X45" s="0" t="str">
        <f aca="false">Treatments!AE13</f>
        <v>All crashes</v>
      </c>
      <c r="Y45" s="0" t="n">
        <f aca="false">IF($C$12="Any",5,IF($C$12=X45,5,IF(AND($C$12="Fatal &amp; injury only",X45="All crashes"),3,0)))</f>
        <v>5</v>
      </c>
      <c r="Z45" s="0" t="str">
        <f aca="false">Treatments!AE13&amp;" / "&amp;Treatments!AF13</f>
        <v>All crashes / All crash types</v>
      </c>
      <c r="AA45" s="0" t="str">
        <f aca="false">IF(OR(Treatments!AH13="Overstates",Treatments!AH13="Check"),UPPER(Treatments!AH13)&amp;": "&amp;Treatments!AI13&amp;". ","")&amp;IF(Treatments!AG13="","",Treatments!AG13)</f>
        <v>AADT tested: 10-92,462.</v>
      </c>
    </row>
    <row r="46" customFormat="false" ht="12.75" hidden="true" customHeight="false" outlineLevel="0" collapsed="false">
      <c r="A46" s="0" t="n">
        <v>12</v>
      </c>
      <c r="B46" s="0" t="str">
        <f aca="false">Treatments!A14</f>
        <v>Install Bicycle Boulevard</v>
      </c>
      <c r="C46" s="0" t="str">
        <f aca="false">Treatments!B14</f>
        <v>CM: Bicycle Lanes</v>
      </c>
      <c r="D46" s="0" t="n">
        <f aca="false">Treatments!Q14</f>
        <v>63</v>
      </c>
      <c r="E46" s="0" t="n">
        <f aca="false">Treatments!P14</f>
        <v>0.37</v>
      </c>
      <c r="F46" s="0" t="n">
        <f aca="false">IF(ISNUMBER(Treatments!N14),Treatments!N14,0)</f>
        <v>4</v>
      </c>
      <c r="G46" s="0" t="str">
        <f aca="false">IF(ISNUMBER(Treatments!U14),Treatments!U14,"")</f>
        <v/>
      </c>
      <c r="H46" s="0" t="str">
        <f aca="false">IF(ISNUMBER(Treatments!V14),Treatments!V14,"")</f>
        <v/>
      </c>
      <c r="I46" s="0" t="s">
        <v>77</v>
      </c>
      <c r="J46" s="0" t="s">
        <v>68</v>
      </c>
      <c r="K46" s="0" t="s">
        <v>22</v>
      </c>
      <c r="L46" s="0" t="s">
        <v>75</v>
      </c>
      <c r="M46" s="0" t="n">
        <f aca="false">IF(ISNUMBER(SEARCH("|"&amp;$C$7&amp;"|",L46)),45,IF(ISNUMBER(SEARCH("|All|",L46)),18,0))</f>
        <v>0</v>
      </c>
      <c r="N46" s="0" t="n">
        <f aca="false">IF(OR($C$4="Any",I46="All"),12,IF(ISNUMBER(SEARCH($C$4,I46)),12,0))</f>
        <v>12</v>
      </c>
      <c r="O46" s="0" t="n">
        <f aca="false">IF(OR($C$5="Any",J46="Any",J46=$C$5),13,0)</f>
        <v>13</v>
      </c>
      <c r="P46" s="0" t="n">
        <f aca="false">IF(OR($C$6="Any",K46="Any",K46=$C$6),10,0)</f>
        <v>10</v>
      </c>
      <c r="Q46" s="0" t="n">
        <f aca="false">IF($C$8="",4,IF(AND(ISNUMBER(G46),ISNUMBER(H46)),IF(AND($C$8&gt;=G46,$C$8&lt;=H46),7,0),4))</f>
        <v>4</v>
      </c>
      <c r="R46" s="0" t="n">
        <f aca="false">M46+N46+O46+P46+Q46+V46+Y46</f>
        <v>52</v>
      </c>
      <c r="S46" s="0" t="n">
        <f aca="false">IF(OR(M46=0,W46=0),-A46,R46*100+D46+F46*0.5-A46*0.001)</f>
        <v>-12</v>
      </c>
      <c r="T46" s="0" t="str">
        <f aca="false">Treatments!M14</f>
        <v>Added  </v>
      </c>
      <c r="U46" s="0" t="s">
        <v>22</v>
      </c>
      <c r="V46" s="0" t="n">
        <f aca="false">IF(OR($C$11="Any",U46="Any",U46=$C$11),8,0)</f>
        <v>8</v>
      </c>
      <c r="W46" s="0" t="n">
        <f aca="false">IF(LEFT(Treatments!AD14,3)="Yes",1,0)</f>
        <v>1</v>
      </c>
      <c r="X46" s="0" t="str">
        <f aca="false">Treatments!AE14</f>
        <v>All crashes</v>
      </c>
      <c r="Y46" s="0" t="n">
        <f aca="false">IF($C$12="Any",5,IF($C$12=X46,5,IF(AND($C$12="Fatal &amp; injury only",X46="All crashes"),3,0)))</f>
        <v>5</v>
      </c>
      <c r="Z46" s="0" t="str">
        <f aca="false">Treatments!AE14&amp;" / "&amp;Treatments!AF14</f>
        <v>All crashes / Only: Vehicle/bicycle</v>
      </c>
      <c r="AA46" s="0" t="str">
        <f aca="false">IF(OR(Treatments!AH14="Overstates",Treatments!AH14="Check"),UPPER(Treatments!AH14)&amp;": "&amp;Treatments!AI14&amp;". ","")&amp;IF(Treatments!AG14="","",Treatments!AG14)</f>
        <v>No AADT range in the study.</v>
      </c>
    </row>
    <row r="47" customFormat="false" ht="12.75" hidden="true" customHeight="false" outlineLevel="0" collapsed="false">
      <c r="A47" s="0" t="n">
        <v>13</v>
      </c>
      <c r="B47" s="0" t="str">
        <f aca="false">Treatments!A15</f>
        <v>Convert Flush Buffered Bike Lane To SBL With Flexi-Posts</v>
      </c>
      <c r="C47" s="0" t="str">
        <f aca="false">Treatments!B15</f>
        <v>CM: Bicycle Lanes</v>
      </c>
      <c r="D47" s="0" t="n">
        <f aca="false">Treatments!Q15</f>
        <v>55.9</v>
      </c>
      <c r="E47" s="0" t="n">
        <f aca="false">Treatments!P15</f>
        <v>0.441</v>
      </c>
      <c r="F47" s="0" t="n">
        <f aca="false">IF(ISNUMBER(Treatments!N15),Treatments!N15,0)</f>
        <v>4</v>
      </c>
      <c r="G47" s="0" t="str">
        <f aca="false">IF(ISNUMBER(Treatments!U15),Treatments!U15,"")</f>
        <v/>
      </c>
      <c r="H47" s="0" t="str">
        <f aca="false">IF(ISNUMBER(Treatments!V15),Treatments!V15,"")</f>
        <v/>
      </c>
      <c r="I47" s="0" t="s">
        <v>67</v>
      </c>
      <c r="J47" s="0" t="s">
        <v>68</v>
      </c>
      <c r="K47" s="0" t="s">
        <v>22</v>
      </c>
      <c r="L47" s="0" t="s">
        <v>75</v>
      </c>
      <c r="M47" s="0" t="n">
        <f aca="false">IF(ISNUMBER(SEARCH("|"&amp;$C$7&amp;"|",L47)),45,IF(ISNUMBER(SEARCH("|All|",L47)),18,0))</f>
        <v>0</v>
      </c>
      <c r="N47" s="0" t="n">
        <f aca="false">IF(OR($C$4="Any",I47="All"),12,IF(ISNUMBER(SEARCH($C$4,I47)),12,0))</f>
        <v>12</v>
      </c>
      <c r="O47" s="0" t="n">
        <f aca="false">IF(OR($C$5="Any",J47="Any",J47=$C$5),13,0)</f>
        <v>13</v>
      </c>
      <c r="P47" s="0" t="n">
        <f aca="false">IF(OR($C$6="Any",K47="Any",K47=$C$6),10,0)</f>
        <v>10</v>
      </c>
      <c r="Q47" s="0" t="n">
        <f aca="false">IF($C$8="",4,IF(AND(ISNUMBER(G47),ISNUMBER(H47)),IF(AND($C$8&gt;=G47,$C$8&lt;=H47),7,0),4))</f>
        <v>4</v>
      </c>
      <c r="R47" s="0" t="n">
        <f aca="false">M47+N47+O47+P47+Q47+V47+Y47</f>
        <v>52</v>
      </c>
      <c r="S47" s="0" t="n">
        <f aca="false">IF(OR(M47=0,W47=0),-A47,R47*100+D47+F47*0.5-A47*0.001)</f>
        <v>-13</v>
      </c>
      <c r="T47" s="0" t="str">
        <f aca="false">Treatments!M15</f>
        <v>Added  </v>
      </c>
      <c r="U47" s="0" t="s">
        <v>22</v>
      </c>
      <c r="V47" s="0" t="n">
        <f aca="false">IF(OR($C$11="Any",U47="Any",U47=$C$11),8,0)</f>
        <v>8</v>
      </c>
      <c r="W47" s="0" t="n">
        <f aca="false">IF(LEFT(Treatments!AD15,3)="Yes",1,0)</f>
        <v>1</v>
      </c>
      <c r="X47" s="0" t="str">
        <f aca="false">Treatments!AE15</f>
        <v>All crashes</v>
      </c>
      <c r="Y47" s="0" t="n">
        <f aca="false">IF($C$12="Any",5,IF($C$12=X47,5,IF(AND($C$12="Fatal &amp; injury only",X47="All crashes"),3,0)))</f>
        <v>5</v>
      </c>
      <c r="Z47" s="0" t="str">
        <f aca="false">Treatments!AE15&amp;" / "&amp;Treatments!AF15</f>
        <v>All crashes / Only: Vehicle/bicycle</v>
      </c>
      <c r="AA47" s="0" t="str">
        <f aca="false">IF(OR(Treatments!AH15="Overstates",Treatments!AH15="Check"),UPPER(Treatments!AH15)&amp;": "&amp;Treatments!AI15&amp;". ","")&amp;IF(Treatments!AG15="","",Treatments!AG15)</f>
        <v>No AADT range in the study.</v>
      </c>
    </row>
    <row r="48" customFormat="false" ht="12.75" hidden="true" customHeight="false" outlineLevel="0" collapsed="false">
      <c r="A48" s="0" t="n">
        <v>14</v>
      </c>
      <c r="B48" s="0" t="str">
        <f aca="false">Treatments!A16</f>
        <v>Install Separated Bicycle Lane</v>
      </c>
      <c r="C48" s="0" t="str">
        <f aca="false">Treatments!B16</f>
        <v>CM: Bicycle Lanes</v>
      </c>
      <c r="D48" s="0" t="n">
        <f aca="false">Treatments!Q16</f>
        <v>54.4</v>
      </c>
      <c r="E48" s="0" t="n">
        <f aca="false">Treatments!P16</f>
        <v>0.456</v>
      </c>
      <c r="F48" s="0" t="n">
        <f aca="false">IF(ISNUMBER(Treatments!N16),Treatments!N16,0)</f>
        <v>4</v>
      </c>
      <c r="G48" s="0" t="n">
        <f aca="false">IF(ISNUMBER(Treatments!U16),Treatments!U16,"")</f>
        <v>2678</v>
      </c>
      <c r="H48" s="0" t="n">
        <f aca="false">IF(ISNUMBER(Treatments!V16),Treatments!V16,"")</f>
        <v>46640</v>
      </c>
      <c r="I48" s="0" t="s">
        <v>72</v>
      </c>
      <c r="J48" s="0" t="s">
        <v>68</v>
      </c>
      <c r="K48" s="0" t="s">
        <v>22</v>
      </c>
      <c r="L48" s="0" t="s">
        <v>76</v>
      </c>
      <c r="M48" s="0" t="n">
        <f aca="false">IF(ISNUMBER(SEARCH("|"&amp;$C$7&amp;"|",L48)),45,IF(ISNUMBER(SEARCH("|All|",L48)),18,0))</f>
        <v>18</v>
      </c>
      <c r="N48" s="0" t="n">
        <f aca="false">IF(OR($C$4="Any",I48="All"),12,IF(ISNUMBER(SEARCH($C$4,I48)),12,0))</f>
        <v>12</v>
      </c>
      <c r="O48" s="0" t="n">
        <f aca="false">IF(OR($C$5="Any",J48="Any",J48=$C$5),13,0)</f>
        <v>13</v>
      </c>
      <c r="P48" s="0" t="n">
        <f aca="false">IF(OR($C$6="Any",K48="Any",K48=$C$6),10,0)</f>
        <v>10</v>
      </c>
      <c r="Q48" s="0" t="n">
        <f aca="false">IF($C$8="",4,IF(AND(ISNUMBER(G48),ISNUMBER(H48)),IF(AND($C$8&gt;=G48,$C$8&lt;=H48),7,0),4))</f>
        <v>4</v>
      </c>
      <c r="R48" s="0" t="n">
        <f aca="false">M48+N48+O48+P48+Q48+V48+Y48</f>
        <v>70</v>
      </c>
      <c r="S48" s="0" t="n">
        <f aca="false">IF(OR(M48=0,W48=0),-A48,R48*100+D48+F48*0.5-A48*0.001)</f>
        <v>7056.386</v>
      </c>
      <c r="T48" s="0" t="str">
        <f aca="false">Treatments!M16</f>
        <v>Added  </v>
      </c>
      <c r="U48" s="0" t="s">
        <v>22</v>
      </c>
      <c r="V48" s="0" t="n">
        <f aca="false">IF(OR($C$11="Any",U48="Any",U48=$C$11),8,0)</f>
        <v>8</v>
      </c>
      <c r="W48" s="0" t="n">
        <f aca="false">IF(LEFT(Treatments!AD16,3)="Yes",1,0)</f>
        <v>1</v>
      </c>
      <c r="X48" s="0" t="str">
        <f aca="false">Treatments!AE16</f>
        <v>All crashes</v>
      </c>
      <c r="Y48" s="0" t="n">
        <f aca="false">IF($C$12="Any",5,IF($C$12=X48,5,IF(AND($C$12="Fatal &amp; injury only",X48="All crashes"),3,0)))</f>
        <v>5</v>
      </c>
      <c r="Z48" s="0" t="str">
        <f aca="false">Treatments!AE16&amp;" / "&amp;Treatments!AF16</f>
        <v>All crashes / All crash types</v>
      </c>
      <c r="AA48" s="0" t="str">
        <f aca="false">IF(OR(Treatments!AH16="Overstates",Treatments!AH16="Check"),UPPER(Treatments!AH16)&amp;": "&amp;Treatments!AI16&amp;". ","")&amp;IF(Treatments!AG16="","",Treatments!AG16)</f>
        <v>AADT tested: 2,678-46,640.</v>
      </c>
    </row>
    <row r="49" customFormat="false" ht="12.75" hidden="true" customHeight="false" outlineLevel="0" collapsed="false">
      <c r="A49" s="0" t="n">
        <v>15</v>
      </c>
      <c r="B49" s="0" t="str">
        <f aca="false">Treatments!A17</f>
        <v>Convert Traditional Bike Lane To SBL With Flexi-Posts</v>
      </c>
      <c r="C49" s="0" t="str">
        <f aca="false">Treatments!B17</f>
        <v>CM: Bicycle Lanes</v>
      </c>
      <c r="D49" s="0" t="n">
        <f aca="false">Treatments!Q17</f>
        <v>50.2</v>
      </c>
      <c r="E49" s="0" t="n">
        <f aca="false">Treatments!P17</f>
        <v>0.498</v>
      </c>
      <c r="F49" s="0" t="n">
        <f aca="false">IF(ISNUMBER(Treatments!N17),Treatments!N17,0)</f>
        <v>4</v>
      </c>
      <c r="G49" s="0" t="str">
        <f aca="false">IF(ISNUMBER(Treatments!U17),Treatments!U17,"")</f>
        <v/>
      </c>
      <c r="H49" s="0" t="str">
        <f aca="false">IF(ISNUMBER(Treatments!V17),Treatments!V17,"")</f>
        <v/>
      </c>
      <c r="I49" s="0" t="s">
        <v>67</v>
      </c>
      <c r="J49" s="0" t="s">
        <v>68</v>
      </c>
      <c r="K49" s="0" t="s">
        <v>22</v>
      </c>
      <c r="L49" s="0" t="s">
        <v>75</v>
      </c>
      <c r="M49" s="0" t="n">
        <f aca="false">IF(ISNUMBER(SEARCH("|"&amp;$C$7&amp;"|",L49)),45,IF(ISNUMBER(SEARCH("|All|",L49)),18,0))</f>
        <v>0</v>
      </c>
      <c r="N49" s="0" t="n">
        <f aca="false">IF(OR($C$4="Any",I49="All"),12,IF(ISNUMBER(SEARCH($C$4,I49)),12,0))</f>
        <v>12</v>
      </c>
      <c r="O49" s="0" t="n">
        <f aca="false">IF(OR($C$5="Any",J49="Any",J49=$C$5),13,0)</f>
        <v>13</v>
      </c>
      <c r="P49" s="0" t="n">
        <f aca="false">IF(OR($C$6="Any",K49="Any",K49=$C$6),10,0)</f>
        <v>10</v>
      </c>
      <c r="Q49" s="0" t="n">
        <f aca="false">IF($C$8="",4,IF(AND(ISNUMBER(G49),ISNUMBER(H49)),IF(AND($C$8&gt;=G49,$C$8&lt;=H49),7,0),4))</f>
        <v>4</v>
      </c>
      <c r="R49" s="0" t="n">
        <f aca="false">M49+N49+O49+P49+Q49+V49+Y49</f>
        <v>52</v>
      </c>
      <c r="S49" s="0" t="n">
        <f aca="false">IF(OR(M49=0,W49=0),-A49,R49*100+D49+F49*0.5-A49*0.001)</f>
        <v>-15</v>
      </c>
      <c r="T49" s="0" t="str">
        <f aca="false">Treatments!M17</f>
        <v>Added  </v>
      </c>
      <c r="U49" s="0" t="s">
        <v>22</v>
      </c>
      <c r="V49" s="0" t="n">
        <f aca="false">IF(OR($C$11="Any",U49="Any",U49=$C$11),8,0)</f>
        <v>8</v>
      </c>
      <c r="W49" s="0" t="n">
        <f aca="false">IF(LEFT(Treatments!AD17,3)="Yes",1,0)</f>
        <v>1</v>
      </c>
      <c r="X49" s="0" t="str">
        <f aca="false">Treatments!AE17</f>
        <v>All crashes</v>
      </c>
      <c r="Y49" s="0" t="n">
        <f aca="false">IF($C$12="Any",5,IF($C$12=X49,5,IF(AND($C$12="Fatal &amp; injury only",X49="All crashes"),3,0)))</f>
        <v>5</v>
      </c>
      <c r="Z49" s="0" t="str">
        <f aca="false">Treatments!AE17&amp;" / "&amp;Treatments!AF17</f>
        <v>All crashes / Only: Vehicle/bicycle</v>
      </c>
      <c r="AA49" s="0" t="str">
        <f aca="false">IF(OR(Treatments!AH17="Overstates",Treatments!AH17="Check"),UPPER(Treatments!AH17)&amp;": "&amp;Treatments!AI17&amp;". ","")&amp;IF(Treatments!AG17="","",Treatments!AG17)</f>
        <v>No AADT range in the study.</v>
      </c>
    </row>
    <row r="50" customFormat="false" ht="12.75" hidden="true" customHeight="false" outlineLevel="0" collapsed="false">
      <c r="A50" s="0" t="n">
        <v>16</v>
      </c>
      <c r="B50" s="0" t="str">
        <f aca="false">Treatments!A18</f>
        <v>Convert Flush Buffered Bike Lane To SBL With A Blend Of Flexi-Post And Other Vertical Elements</v>
      </c>
      <c r="C50" s="0" t="str">
        <f aca="false">Treatments!B18</f>
        <v>CM: Bicycle Lanes</v>
      </c>
      <c r="D50" s="0" t="n">
        <f aca="false">Treatments!Q18</f>
        <v>43.3</v>
      </c>
      <c r="E50" s="0" t="n">
        <f aca="false">Treatments!P18</f>
        <v>0.567</v>
      </c>
      <c r="F50" s="0" t="n">
        <f aca="false">IF(ISNUMBER(Treatments!N18),Treatments!N18,0)</f>
        <v>4</v>
      </c>
      <c r="G50" s="0" t="str">
        <f aca="false">IF(ISNUMBER(Treatments!U18),Treatments!U18,"")</f>
        <v/>
      </c>
      <c r="H50" s="0" t="str">
        <f aca="false">IF(ISNUMBER(Treatments!V18),Treatments!V18,"")</f>
        <v/>
      </c>
      <c r="I50" s="0" t="s">
        <v>67</v>
      </c>
      <c r="J50" s="0" t="s">
        <v>68</v>
      </c>
      <c r="K50" s="0" t="s">
        <v>22</v>
      </c>
      <c r="L50" s="0" t="s">
        <v>75</v>
      </c>
      <c r="M50" s="0" t="n">
        <f aca="false">IF(ISNUMBER(SEARCH("|"&amp;$C$7&amp;"|",L50)),45,IF(ISNUMBER(SEARCH("|All|",L50)),18,0))</f>
        <v>0</v>
      </c>
      <c r="N50" s="0" t="n">
        <f aca="false">IF(OR($C$4="Any",I50="All"),12,IF(ISNUMBER(SEARCH($C$4,I50)),12,0))</f>
        <v>12</v>
      </c>
      <c r="O50" s="0" t="n">
        <f aca="false">IF(OR($C$5="Any",J50="Any",J50=$C$5),13,0)</f>
        <v>13</v>
      </c>
      <c r="P50" s="0" t="n">
        <f aca="false">IF(OR($C$6="Any",K50="Any",K50=$C$6),10,0)</f>
        <v>10</v>
      </c>
      <c r="Q50" s="0" t="n">
        <f aca="false">IF($C$8="",4,IF(AND(ISNUMBER(G50),ISNUMBER(H50)),IF(AND($C$8&gt;=G50,$C$8&lt;=H50),7,0),4))</f>
        <v>4</v>
      </c>
      <c r="R50" s="0" t="n">
        <f aca="false">M50+N50+O50+P50+Q50+V50+Y50</f>
        <v>52</v>
      </c>
      <c r="S50" s="0" t="n">
        <f aca="false">IF(OR(M50=0,W50=0),-A50,R50*100+D50+F50*0.5-A50*0.001)</f>
        <v>-16</v>
      </c>
      <c r="T50" s="0" t="str">
        <f aca="false">Treatments!M18</f>
        <v>Added  </v>
      </c>
      <c r="U50" s="0" t="s">
        <v>22</v>
      </c>
      <c r="V50" s="0" t="n">
        <f aca="false">IF(OR($C$11="Any",U50="Any",U50=$C$11),8,0)</f>
        <v>8</v>
      </c>
      <c r="W50" s="0" t="n">
        <f aca="false">IF(LEFT(Treatments!AD18,3)="Yes",1,0)</f>
        <v>1</v>
      </c>
      <c r="X50" s="0" t="str">
        <f aca="false">Treatments!AE18</f>
        <v>All crashes</v>
      </c>
      <c r="Y50" s="0" t="n">
        <f aca="false">IF($C$12="Any",5,IF($C$12=X50,5,IF(AND($C$12="Fatal &amp; injury only",X50="All crashes"),3,0)))</f>
        <v>5</v>
      </c>
      <c r="Z50" s="0" t="str">
        <f aca="false">Treatments!AE18&amp;" / "&amp;Treatments!AF18</f>
        <v>All crashes / Only: Vehicle/bicycle</v>
      </c>
      <c r="AA50" s="0" t="str">
        <f aca="false">IF(OR(Treatments!AH18="Overstates",Treatments!AH18="Check"),UPPER(Treatments!AH18)&amp;": "&amp;Treatments!AI18&amp;". ","")&amp;IF(Treatments!AG18="","",Treatments!AG18)</f>
        <v>No AADT range in the study.</v>
      </c>
    </row>
    <row r="51" customFormat="false" ht="12.75" hidden="true" customHeight="false" outlineLevel="0" collapsed="false">
      <c r="A51" s="0" t="n">
        <v>17</v>
      </c>
      <c r="B51" s="0" t="str">
        <f aca="false">Treatments!A19</f>
        <v>Install Bicycle Lanes</v>
      </c>
      <c r="C51" s="0" t="str">
        <f aca="false">Treatments!B19</f>
        <v>CM: Bicycle Lanes</v>
      </c>
      <c r="D51" s="0" t="n">
        <f aca="false">Treatments!Q19</f>
        <v>42.9</v>
      </c>
      <c r="E51" s="0" t="n">
        <f aca="false">Treatments!P19</f>
        <v>0.571</v>
      </c>
      <c r="F51" s="0" t="n">
        <f aca="false">IF(ISNUMBER(Treatments!N19),Treatments!N19,0)</f>
        <v>4</v>
      </c>
      <c r="G51" s="0" t="n">
        <f aca="false">IF(ISNUMBER(Treatments!U19),Treatments!U19,"")</f>
        <v>2678</v>
      </c>
      <c r="H51" s="0" t="n">
        <f aca="false">IF(ISNUMBER(Treatments!V19),Treatments!V19,"")</f>
        <v>46640</v>
      </c>
      <c r="I51" s="0" t="s">
        <v>72</v>
      </c>
      <c r="J51" s="0" t="s">
        <v>68</v>
      </c>
      <c r="K51" s="0" t="s">
        <v>22</v>
      </c>
      <c r="L51" s="0" t="s">
        <v>76</v>
      </c>
      <c r="M51" s="0" t="n">
        <f aca="false">IF(ISNUMBER(SEARCH("|"&amp;$C$7&amp;"|",L51)),45,IF(ISNUMBER(SEARCH("|All|",L51)),18,0))</f>
        <v>18</v>
      </c>
      <c r="N51" s="0" t="n">
        <f aca="false">IF(OR($C$4="Any",I51="All"),12,IF(ISNUMBER(SEARCH($C$4,I51)),12,0))</f>
        <v>12</v>
      </c>
      <c r="O51" s="0" t="n">
        <f aca="false">IF(OR($C$5="Any",J51="Any",J51=$C$5),13,0)</f>
        <v>13</v>
      </c>
      <c r="P51" s="0" t="n">
        <f aca="false">IF(OR($C$6="Any",K51="Any",K51=$C$6),10,0)</f>
        <v>10</v>
      </c>
      <c r="Q51" s="0" t="n">
        <f aca="false">IF($C$8="",4,IF(AND(ISNUMBER(G51),ISNUMBER(H51)),IF(AND($C$8&gt;=G51,$C$8&lt;=H51),7,0),4))</f>
        <v>4</v>
      </c>
      <c r="R51" s="0" t="n">
        <f aca="false">M51+N51+O51+P51+Q51+V51+Y51</f>
        <v>70</v>
      </c>
      <c r="S51" s="0" t="n">
        <f aca="false">IF(OR(M51=0,W51=0),-A51,R51*100+D51+F51*0.5-A51*0.001)</f>
        <v>7044.883</v>
      </c>
      <c r="T51" s="0" t="str">
        <f aca="false">Treatments!M19</f>
        <v>Added  </v>
      </c>
      <c r="U51" s="0" t="s">
        <v>22</v>
      </c>
      <c r="V51" s="0" t="n">
        <f aca="false">IF(OR($C$11="Any",U51="Any",U51=$C$11),8,0)</f>
        <v>8</v>
      </c>
      <c r="W51" s="0" t="n">
        <f aca="false">IF(LEFT(Treatments!AD19,3)="Yes",1,0)</f>
        <v>1</v>
      </c>
      <c r="X51" s="0" t="str">
        <f aca="false">Treatments!AE19</f>
        <v>Fatal &amp; injury only</v>
      </c>
      <c r="Y51" s="0" t="n">
        <f aca="false">IF($C$12="Any",5,IF($C$12=X51,5,IF(AND($C$12="Fatal &amp; injury only",X51="All crashes"),3,0)))</f>
        <v>5</v>
      </c>
      <c r="Z51" s="0" t="str">
        <f aca="false">Treatments!AE19&amp;" / "&amp;Treatments!AF19</f>
        <v>Fatal &amp; injury only / All crash types</v>
      </c>
      <c r="AA51" s="0" t="str">
        <f aca="false">IF(OR(Treatments!AH19="Overstates",Treatments!AH19="Check"),UPPER(Treatments!AH19)&amp;": "&amp;Treatments!AI19&amp;". ","")&amp;IF(Treatments!AG19="","",Treatments!AG19)</f>
        <v>AADT tested: 2,678-46,640.</v>
      </c>
    </row>
    <row r="52" customFormat="false" ht="12.75" hidden="true" customHeight="false" outlineLevel="0" collapsed="false">
      <c r="A52" s="0" t="n">
        <v>18</v>
      </c>
      <c r="B52" s="0" t="str">
        <f aca="false">Treatments!A20</f>
        <v>Install High-Visibility Crosswalk</v>
      </c>
      <c r="C52" s="0" t="str">
        <f aca="false">Treatments!B20</f>
        <v>CM: Crosswalk Visibility Enhancements</v>
      </c>
      <c r="D52" s="0" t="n">
        <f aca="false">Treatments!Q20</f>
        <v>40</v>
      </c>
      <c r="E52" s="0" t="n">
        <f aca="false">Treatments!P20</f>
        <v>0.6</v>
      </c>
      <c r="F52" s="0" t="n">
        <f aca="false">IF(ISNUMBER(Treatments!N20),Treatments!N20,0)</f>
        <v>2</v>
      </c>
      <c r="G52" s="0" t="str">
        <f aca="false">IF(ISNUMBER(Treatments!U20),Treatments!U20,"")</f>
        <v/>
      </c>
      <c r="H52" s="0" t="str">
        <f aca="false">IF(ISNUMBER(Treatments!V20),Treatments!V20,"")</f>
        <v/>
      </c>
      <c r="I52" s="0" t="s">
        <v>67</v>
      </c>
      <c r="J52" s="0" t="s">
        <v>22</v>
      </c>
      <c r="K52" s="0" t="s">
        <v>22</v>
      </c>
      <c r="L52" s="0" t="s">
        <v>78</v>
      </c>
      <c r="M52" s="0" t="n">
        <f aca="false">IF(ISNUMBER(SEARCH("|"&amp;$C$7&amp;"|",L52)),45,IF(ISNUMBER(SEARCH("|All|",L52)),18,0))</f>
        <v>0</v>
      </c>
      <c r="N52" s="0" t="n">
        <f aca="false">IF(OR($C$4="Any",I52="All"),12,IF(ISNUMBER(SEARCH($C$4,I52)),12,0))</f>
        <v>12</v>
      </c>
      <c r="O52" s="0" t="n">
        <f aca="false">IF(OR($C$5="Any",J52="Any",J52=$C$5),13,0)</f>
        <v>13</v>
      </c>
      <c r="P52" s="0" t="n">
        <f aca="false">IF(OR($C$6="Any",K52="Any",K52=$C$6),10,0)</f>
        <v>10</v>
      </c>
      <c r="Q52" s="0" t="n">
        <f aca="false">IF($C$8="",4,IF(AND(ISNUMBER(G52),ISNUMBER(H52)),IF(AND($C$8&gt;=G52,$C$8&lt;=H52),7,0),4))</f>
        <v>4</v>
      </c>
      <c r="R52" s="0" t="n">
        <f aca="false">M52+N52+O52+P52+Q52+V52+Y52</f>
        <v>52</v>
      </c>
      <c r="S52" s="0" t="n">
        <f aca="false">IF(OR(M52=0,W52=0),-A52,R52*100+D52+F52*0.5-A52*0.001)</f>
        <v>-18</v>
      </c>
      <c r="T52" s="0" t="str">
        <f aca="false">Treatments!M20</f>
        <v>Original </v>
      </c>
      <c r="U52" s="0" t="s">
        <v>22</v>
      </c>
      <c r="V52" s="0" t="n">
        <f aca="false">IF(OR($C$11="Any",U52="Any",U52=$C$11),8,0)</f>
        <v>8</v>
      </c>
      <c r="W52" s="0" t="n">
        <f aca="false">IF(LEFT(Treatments!AD20,3)="Yes",1,0)</f>
        <v>1</v>
      </c>
      <c r="X52" s="0" t="str">
        <f aca="false">Treatments!AE20</f>
        <v>All crashes</v>
      </c>
      <c r="Y52" s="0" t="n">
        <f aca="false">IF($C$12="Any",5,IF($C$12=X52,5,IF(AND($C$12="Fatal &amp; injury only",X52="All crashes"),3,0)))</f>
        <v>5</v>
      </c>
      <c r="Z52" s="0" t="str">
        <f aca="false">Treatments!AE20&amp;" / "&amp;Treatments!AF20</f>
        <v>All crashes / Only: Vehicle/pedestrian</v>
      </c>
      <c r="AA52" s="0" t="str">
        <f aca="false">IF(OR(Treatments!AH20="Overstates",Treatments!AH20="Check"),UPPER(Treatments!AH20)&amp;": "&amp;Treatments!AI20&amp;". ","")&amp;IF(Treatments!AG20="","",Treatments!AG20)</f>
        <v>No AADT range in the study.</v>
      </c>
    </row>
    <row r="53" customFormat="false" ht="12.75" hidden="true" customHeight="false" outlineLevel="0" collapsed="false">
      <c r="A53" s="0" t="n">
        <v>19</v>
      </c>
      <c r="B53" s="0" t="str">
        <f aca="false">Treatments!A21</f>
        <v>Provide Intersection Illumination</v>
      </c>
      <c r="C53" s="0" t="str">
        <f aca="false">Treatments!B21</f>
        <v>CM: Crosswalk Visibility Enhancements</v>
      </c>
      <c r="D53" s="0" t="n">
        <f aca="false">Treatments!Q21</f>
        <v>42</v>
      </c>
      <c r="E53" s="0" t="n">
        <f aca="false">Treatments!P21</f>
        <v>0.58</v>
      </c>
      <c r="F53" s="0" t="n">
        <f aca="false">IF(ISNUMBER(Treatments!N21),Treatments!N21,0)</f>
        <v>3</v>
      </c>
      <c r="G53" s="0" t="str">
        <f aca="false">IF(ISNUMBER(Treatments!U21),Treatments!U21,"")</f>
        <v/>
      </c>
      <c r="H53" s="0" t="str">
        <f aca="false">IF(ISNUMBER(Treatments!V21),Treatments!V21,"")</f>
        <v/>
      </c>
      <c r="I53" s="0" t="s">
        <v>72</v>
      </c>
      <c r="J53" s="0" t="s">
        <v>22</v>
      </c>
      <c r="K53" s="0" t="s">
        <v>22</v>
      </c>
      <c r="L53" s="0" t="s">
        <v>79</v>
      </c>
      <c r="M53" s="0" t="n">
        <f aca="false">IF(ISNUMBER(SEARCH("|"&amp;$C$7&amp;"|",L53)),45,IF(ISNUMBER(SEARCH("|All|",L53)),18,0))</f>
        <v>0</v>
      </c>
      <c r="N53" s="0" t="n">
        <f aca="false">IF(OR($C$4="Any",I53="All"),12,IF(ISNUMBER(SEARCH($C$4,I53)),12,0))</f>
        <v>12</v>
      </c>
      <c r="O53" s="0" t="n">
        <f aca="false">IF(OR($C$5="Any",J53="Any",J53=$C$5),13,0)</f>
        <v>13</v>
      </c>
      <c r="P53" s="0" t="n">
        <f aca="false">IF(OR($C$6="Any",K53="Any",K53=$C$6),10,0)</f>
        <v>10</v>
      </c>
      <c r="Q53" s="0" t="n">
        <f aca="false">IF($C$8="",4,IF(AND(ISNUMBER(G53),ISNUMBER(H53)),IF(AND($C$8&gt;=G53,$C$8&lt;=H53),7,0),4))</f>
        <v>4</v>
      </c>
      <c r="R53" s="0" t="n">
        <f aca="false">M53+N53+O53+P53+Q53+V53+Y53</f>
        <v>52</v>
      </c>
      <c r="S53" s="0" t="n">
        <f aca="false">IF(OR(M53=0,W53=0),-A53,R53*100+D53+F53*0.5-A53*0.001)</f>
        <v>-19</v>
      </c>
      <c r="T53" s="0" t="str">
        <f aca="false">Treatments!M21</f>
        <v>Original </v>
      </c>
      <c r="U53" s="0" t="s">
        <v>22</v>
      </c>
      <c r="V53" s="0" t="n">
        <f aca="false">IF(OR($C$11="Any",U53="Any",U53=$C$11),8,0)</f>
        <v>8</v>
      </c>
      <c r="W53" s="0" t="n">
        <f aca="false">IF(LEFT(Treatments!AD21,3)="Yes",1,0)</f>
        <v>1</v>
      </c>
      <c r="X53" s="0" t="str">
        <f aca="false">Treatments!AE21</f>
        <v>Fatal &amp; injury only</v>
      </c>
      <c r="Y53" s="0" t="n">
        <f aca="false">IF($C$12="Any",5,IF($C$12=X53,5,IF(AND($C$12="Fatal &amp; injury only",X53="All crashes"),3,0)))</f>
        <v>5</v>
      </c>
      <c r="Z53" s="0" t="str">
        <f aca="false">Treatments!AE21&amp;" / "&amp;Treatments!AF21</f>
        <v>Fatal &amp; injury only / Only: Nighttime,Vehicle/pedestrian</v>
      </c>
      <c r="AA53" s="0" t="str">
        <f aca="false">IF(OR(Treatments!AH21="Overstates",Treatments!AH21="Check"),UPPER(Treatments!AH21)&amp;": "&amp;Treatments!AI21&amp;". ","")&amp;IF(Treatments!AG21="","",Treatments!AG21)</f>
        <v>OVERSTATES: Night pedestrian crashes only. No AADT range in the study.</v>
      </c>
    </row>
    <row r="54" customFormat="false" ht="12.75" hidden="true" customHeight="false" outlineLevel="0" collapsed="false">
      <c r="A54" s="0" t="n">
        <v>20</v>
      </c>
      <c r="B54" s="0" t="str">
        <f aca="false">Treatments!A22</f>
        <v>Install High-Visibility Yellow, Continental Type Crosswalks At Schools</v>
      </c>
      <c r="C54" s="0" t="str">
        <f aca="false">Treatments!B22</f>
        <v>CM: Crosswalk Visibility Enhancements</v>
      </c>
      <c r="D54" s="0" t="n">
        <f aca="false">Treatments!Q22</f>
        <v>37</v>
      </c>
      <c r="E54" s="0" t="n">
        <f aca="false">Treatments!P22</f>
        <v>0.63</v>
      </c>
      <c r="F54" s="0" t="n">
        <f aca="false">IF(ISNUMBER(Treatments!N22),Treatments!N22,0)</f>
        <v>4</v>
      </c>
      <c r="G54" s="0" t="n">
        <f aca="false">IF(ISNUMBER(Treatments!U22),Treatments!U22,"")</f>
        <v>567</v>
      </c>
      <c r="H54" s="0" t="n">
        <f aca="false">IF(ISNUMBER(Treatments!V22),Treatments!V22,"")</f>
        <v>43199</v>
      </c>
      <c r="I54" s="0" t="s">
        <v>67</v>
      </c>
      <c r="J54" s="0" t="s">
        <v>22</v>
      </c>
      <c r="K54" s="0" t="s">
        <v>22</v>
      </c>
      <c r="L54" s="0" t="s">
        <v>78</v>
      </c>
      <c r="M54" s="0" t="n">
        <f aca="false">IF(ISNUMBER(SEARCH("|"&amp;$C$7&amp;"|",L54)),45,IF(ISNUMBER(SEARCH("|All|",L54)),18,0))</f>
        <v>0</v>
      </c>
      <c r="N54" s="0" t="n">
        <f aca="false">IF(OR($C$4="Any",I54="All"),12,IF(ISNUMBER(SEARCH($C$4,I54)),12,0))</f>
        <v>12</v>
      </c>
      <c r="O54" s="0" t="n">
        <f aca="false">IF(OR($C$5="Any",J54="Any",J54=$C$5),13,0)</f>
        <v>13</v>
      </c>
      <c r="P54" s="0" t="n">
        <f aca="false">IF(OR($C$6="Any",K54="Any",K54=$C$6),10,0)</f>
        <v>10</v>
      </c>
      <c r="Q54" s="0" t="n">
        <f aca="false">IF($C$8="",4,IF(AND(ISNUMBER(G54),ISNUMBER(H54)),IF(AND($C$8&gt;=G54,$C$8&lt;=H54),7,0),4))</f>
        <v>4</v>
      </c>
      <c r="R54" s="0" t="n">
        <f aca="false">M54+N54+O54+P54+Q54+V54+Y54</f>
        <v>52</v>
      </c>
      <c r="S54" s="0" t="n">
        <f aca="false">IF(OR(M54=0,W54=0),-A54,R54*100+D54+F54*0.5-A54*0.001)</f>
        <v>-20</v>
      </c>
      <c r="T54" s="0" t="str">
        <f aca="false">Treatments!M22</f>
        <v>Added  </v>
      </c>
      <c r="U54" s="0" t="s">
        <v>22</v>
      </c>
      <c r="V54" s="0" t="n">
        <f aca="false">IF(OR($C$11="Any",U54="Any",U54=$C$11),8,0)</f>
        <v>8</v>
      </c>
      <c r="W54" s="0" t="n">
        <f aca="false">IF(LEFT(Treatments!AD22,3)="Yes",1,0)</f>
        <v>1</v>
      </c>
      <c r="X54" s="0" t="str">
        <f aca="false">Treatments!AE22</f>
        <v>All crashes</v>
      </c>
      <c r="Y54" s="0" t="n">
        <f aca="false">IF($C$12="Any",5,IF($C$12=X54,5,IF(AND($C$12="Fatal &amp; injury only",X54="All crashes"),3,0)))</f>
        <v>5</v>
      </c>
      <c r="Z54" s="0" t="str">
        <f aca="false">Treatments!AE22&amp;" / "&amp;Treatments!AF22</f>
        <v>All crashes / Only: Vehicle/pedestrian</v>
      </c>
      <c r="AA54" s="0" t="str">
        <f aca="false">IF(OR(Treatments!AH22="Overstates",Treatments!AH22="Check"),UPPER(Treatments!AH22)&amp;": "&amp;Treatments!AI22&amp;". ","")&amp;IF(Treatments!AG22="","",Treatments!AG22)</f>
        <v>AADT tested: 567-43,199.</v>
      </c>
    </row>
    <row r="55" customFormat="false" ht="12.75" hidden="true" customHeight="false" outlineLevel="0" collapsed="false">
      <c r="A55" s="0" t="n">
        <v>21</v>
      </c>
      <c r="B55" s="0" t="str">
        <f aca="false">Treatments!A23</f>
        <v>Modify Signal Phasing (Implement A Leading Pedestrian Interval)</v>
      </c>
      <c r="C55" s="0" t="str">
        <f aca="false">Treatments!B23</f>
        <v>CM: Leading Pedestrian Interval</v>
      </c>
      <c r="D55" s="0" t="n">
        <f aca="false">Treatments!Q23</f>
        <v>13</v>
      </c>
      <c r="E55" s="0" t="n">
        <f aca="false">Treatments!P23</f>
        <v>0.87</v>
      </c>
      <c r="F55" s="0" t="n">
        <f aca="false">IF(ISNUMBER(Treatments!N23),Treatments!N23,0)</f>
        <v>5</v>
      </c>
      <c r="G55" s="0" t="str">
        <f aca="false">IF(ISNUMBER(Treatments!U23),Treatments!U23,"")</f>
        <v/>
      </c>
      <c r="H55" s="0" t="str">
        <f aca="false">IF(ISNUMBER(Treatments!V23),Treatments!V23,"")</f>
        <v/>
      </c>
      <c r="I55" s="0" t="s">
        <v>77</v>
      </c>
      <c r="J55" s="0" t="s">
        <v>80</v>
      </c>
      <c r="K55" s="0" t="s">
        <v>81</v>
      </c>
      <c r="L55" s="0" t="s">
        <v>78</v>
      </c>
      <c r="M55" s="0" t="n">
        <f aca="false">IF(ISNUMBER(SEARCH("|"&amp;$C$7&amp;"|",L55)),45,IF(ISNUMBER(SEARCH("|All|",L55)),18,0))</f>
        <v>0</v>
      </c>
      <c r="N55" s="0" t="n">
        <f aca="false">IF(OR($C$4="Any",I55="All"),12,IF(ISNUMBER(SEARCH($C$4,I55)),12,0))</f>
        <v>12</v>
      </c>
      <c r="O55" s="0" t="n">
        <f aca="false">IF(OR($C$5="Any",J55="Any",J55=$C$5),13,0)</f>
        <v>13</v>
      </c>
      <c r="P55" s="0" t="n">
        <f aca="false">IF(OR($C$6="Any",K55="Any",K55=$C$6),10,0)</f>
        <v>10</v>
      </c>
      <c r="Q55" s="0" t="n">
        <f aca="false">IF($C$8="",4,IF(AND(ISNUMBER(G55),ISNUMBER(H55)),IF(AND($C$8&gt;=G55,$C$8&lt;=H55),7,0),4))</f>
        <v>4</v>
      </c>
      <c r="R55" s="0" t="n">
        <f aca="false">M55+N55+O55+P55+Q55+V55+Y55</f>
        <v>52</v>
      </c>
      <c r="S55" s="0" t="n">
        <f aca="false">IF(OR(M55=0,W55=0),-A55,R55*100+D55+F55*0.5-A55*0.001)</f>
        <v>-21</v>
      </c>
      <c r="T55" s="0" t="str">
        <f aca="false">Treatments!M23</f>
        <v>Original </v>
      </c>
      <c r="U55" s="0" t="s">
        <v>22</v>
      </c>
      <c r="V55" s="0" t="n">
        <f aca="false">IF(OR($C$11="Any",U55="Any",U55=$C$11),8,0)</f>
        <v>8</v>
      </c>
      <c r="W55" s="0" t="n">
        <f aca="false">IF(LEFT(Treatments!AD23,3)="Yes",1,0)</f>
        <v>1</v>
      </c>
      <c r="X55" s="0" t="str">
        <f aca="false">Treatments!AE23</f>
        <v>All crashes</v>
      </c>
      <c r="Y55" s="0" t="n">
        <f aca="false">IF($C$12="Any",5,IF($C$12=X55,5,IF(AND($C$12="Fatal &amp; injury only",X55="All crashes"),3,0)))</f>
        <v>5</v>
      </c>
      <c r="Z55" s="0" t="str">
        <f aca="false">Treatments!AE23&amp;" / "&amp;Treatments!AF23</f>
        <v>All crashes / Only: Vehicle/pedestrian</v>
      </c>
      <c r="AA55" s="0" t="str">
        <f aca="false">IF(OR(Treatments!AH23="Overstates",Treatments!AH23="Check"),UPPER(Treatments!AH23)&amp;": "&amp;Treatments!AI23&amp;". ","")&amp;IF(Treatments!AG23="","",Treatments!AG23)</f>
        <v>No AADT range in the study.</v>
      </c>
    </row>
    <row r="56" customFormat="false" ht="12.75" hidden="true" customHeight="false" outlineLevel="0" collapsed="false">
      <c r="A56" s="0" t="n">
        <v>22</v>
      </c>
      <c r="B56" s="0" t="str">
        <f aca="false">Treatments!A24</f>
        <v>Modify Signal Phasing (Implement A Leading Pedestrian Interval)</v>
      </c>
      <c r="C56" s="0" t="str">
        <f aca="false">Treatments!B24</f>
        <v>CM: Leading Pedestrian Interval</v>
      </c>
      <c r="D56" s="0" t="n">
        <f aca="false">Treatments!Q24</f>
        <v>19</v>
      </c>
      <c r="E56" s="0" t="n">
        <f aca="false">Treatments!P24</f>
        <v>0.81</v>
      </c>
      <c r="F56" s="0" t="n">
        <f aca="false">IF(ISNUMBER(Treatments!N24),Treatments!N24,0)</f>
        <v>5</v>
      </c>
      <c r="G56" s="0" t="n">
        <f aca="false">IF(ISNUMBER(Treatments!U24),Treatments!U24,"")</f>
        <v>6650</v>
      </c>
      <c r="H56" s="0" t="n">
        <f aca="false">IF(ISNUMBER(Treatments!V24),Treatments!V24,"")</f>
        <v>32363</v>
      </c>
      <c r="I56" s="0" t="s">
        <v>77</v>
      </c>
      <c r="J56" s="0" t="s">
        <v>80</v>
      </c>
      <c r="K56" s="0" t="s">
        <v>81</v>
      </c>
      <c r="L56" s="0" t="s">
        <v>78</v>
      </c>
      <c r="M56" s="0" t="n">
        <f aca="false">IF(ISNUMBER(SEARCH("|"&amp;$C$7&amp;"|",L56)),45,IF(ISNUMBER(SEARCH("|All|",L56)),18,0))</f>
        <v>0</v>
      </c>
      <c r="N56" s="0" t="n">
        <f aca="false">IF(OR($C$4="Any",I56="All"),12,IF(ISNUMBER(SEARCH($C$4,I56)),12,0))</f>
        <v>12</v>
      </c>
      <c r="O56" s="0" t="n">
        <f aca="false">IF(OR($C$5="Any",J56="Any",J56=$C$5),13,0)</f>
        <v>13</v>
      </c>
      <c r="P56" s="0" t="n">
        <f aca="false">IF(OR($C$6="Any",K56="Any",K56=$C$6),10,0)</f>
        <v>10</v>
      </c>
      <c r="Q56" s="0" t="n">
        <f aca="false">IF($C$8="",4,IF(AND(ISNUMBER(G56),ISNUMBER(H56)),IF(AND($C$8&gt;=G56,$C$8&lt;=H56),7,0),4))</f>
        <v>4</v>
      </c>
      <c r="R56" s="0" t="n">
        <f aca="false">M56+N56+O56+P56+Q56+V56+Y56</f>
        <v>52</v>
      </c>
      <c r="S56" s="0" t="n">
        <f aca="false">IF(OR(M56=0,W56=0),-A56,R56*100+D56+F56*0.5-A56*0.001)</f>
        <v>-22</v>
      </c>
      <c r="T56" s="0" t="str">
        <f aca="false">Treatments!M24</f>
        <v>Added  </v>
      </c>
      <c r="U56" s="0" t="s">
        <v>22</v>
      </c>
      <c r="V56" s="0" t="n">
        <f aca="false">IF(OR($C$11="Any",U56="Any",U56=$C$11),8,0)</f>
        <v>8</v>
      </c>
      <c r="W56" s="0" t="n">
        <f aca="false">IF(LEFT(Treatments!AD24,3)="Yes",1,0)</f>
        <v>1</v>
      </c>
      <c r="X56" s="0" t="str">
        <f aca="false">Treatments!AE24</f>
        <v>All crashes</v>
      </c>
      <c r="Y56" s="0" t="n">
        <f aca="false">IF($C$12="Any",5,IF($C$12=X56,5,IF(AND($C$12="Fatal &amp; injury only",X56="All crashes"),3,0)))</f>
        <v>5</v>
      </c>
      <c r="Z56" s="0" t="str">
        <f aca="false">Treatments!AE24&amp;" / "&amp;Treatments!AF24</f>
        <v>All crashes / Only: Vehicle/pedestrian</v>
      </c>
      <c r="AA56" s="0" t="str">
        <f aca="false">IF(OR(Treatments!AH24="Overstates",Treatments!AH24="Check"),UPPER(Treatments!AH24)&amp;": "&amp;Treatments!AI24&amp;". ","")&amp;IF(Treatments!AG24="","",Treatments!AG24)</f>
        <v>AADT tested: 6,650-32,363.</v>
      </c>
    </row>
    <row r="57" customFormat="false" ht="12.75" hidden="true" customHeight="false" outlineLevel="0" collapsed="false">
      <c r="A57" s="0" t="n">
        <v>23</v>
      </c>
      <c r="B57" s="0" t="str">
        <f aca="false">Treatments!A25</f>
        <v>Install Raised Median With Marked Crosswalk (Uncontrolled)</v>
      </c>
      <c r="C57" s="0" t="str">
        <f aca="false">Treatments!B25</f>
        <v>CM: Medians and Pedestrian Refuge Islands in Urban and Suburban Areas</v>
      </c>
      <c r="D57" s="0" t="n">
        <f aca="false">Treatments!Q25</f>
        <v>46</v>
      </c>
      <c r="E57" s="0" t="n">
        <f aca="false">Treatments!P25</f>
        <v>0.54</v>
      </c>
      <c r="F57" s="0" t="n">
        <f aca="false">IF(ISNUMBER(Treatments!N25),Treatments!N25,0)</f>
        <v>3</v>
      </c>
      <c r="G57" s="0" t="n">
        <f aca="false">IF(ISNUMBER(Treatments!U25),Treatments!U25,"")</f>
        <v>15000</v>
      </c>
      <c r="H57" s="0" t="str">
        <f aca="false">IF(ISNUMBER(Treatments!V25),Treatments!V25,"")</f>
        <v/>
      </c>
      <c r="I57" s="0" t="s">
        <v>77</v>
      </c>
      <c r="J57" s="0" t="s">
        <v>82</v>
      </c>
      <c r="K57" s="0" t="s">
        <v>83</v>
      </c>
      <c r="L57" s="0" t="s">
        <v>84</v>
      </c>
      <c r="M57" s="0" t="n">
        <f aca="false">IF(ISNUMBER(SEARCH("|"&amp;$C$7&amp;"|",L57)),45,IF(ISNUMBER(SEARCH("|All|",L57)),18,0))</f>
        <v>0</v>
      </c>
      <c r="N57" s="0" t="n">
        <f aca="false">IF(OR($C$4="Any",I57="All"),12,IF(ISNUMBER(SEARCH($C$4,I57)),12,0))</f>
        <v>12</v>
      </c>
      <c r="O57" s="0" t="n">
        <f aca="false">IF(OR($C$5="Any",J57="Any",J57=$C$5),13,0)</f>
        <v>13</v>
      </c>
      <c r="P57" s="0" t="n">
        <f aca="false">IF(OR($C$6="Any",K57="Any",K57=$C$6),10,0)</f>
        <v>10</v>
      </c>
      <c r="Q57" s="0" t="n">
        <f aca="false">IF($C$8="",4,IF(AND(ISNUMBER(G57),ISNUMBER(H57)),IF(AND($C$8&gt;=G57,$C$8&lt;=H57),7,0),4))</f>
        <v>4</v>
      </c>
      <c r="R57" s="0" t="n">
        <f aca="false">M57+N57+O57+P57+Q57+V57+Y57</f>
        <v>52</v>
      </c>
      <c r="S57" s="0" t="n">
        <f aca="false">IF(OR(M57=0,W57=0),-A57,R57*100+D57+F57*0.5-A57*0.001)</f>
        <v>-23</v>
      </c>
      <c r="T57" s="0" t="str">
        <f aca="false">Treatments!M25</f>
        <v>Original </v>
      </c>
      <c r="U57" s="0" t="s">
        <v>71</v>
      </c>
      <c r="V57" s="0" t="n">
        <f aca="false">IF(OR($C$11="Any",U57="Any",U57=$C$11),8,0)</f>
        <v>8</v>
      </c>
      <c r="W57" s="0" t="n">
        <f aca="false">IF(LEFT(Treatments!AD25,3)="Yes",1,0)</f>
        <v>1</v>
      </c>
      <c r="X57" s="0" t="str">
        <f aca="false">Treatments!AE25</f>
        <v>All crashes</v>
      </c>
      <c r="Y57" s="0" t="n">
        <f aca="false">IF($C$12="Any",5,IF($C$12=X57,5,IF(AND($C$12="Fatal &amp; injury only",X57="All crashes"),3,0)))</f>
        <v>5</v>
      </c>
      <c r="Z57" s="0" t="str">
        <f aca="false">Treatments!AE25&amp;" / "&amp;Treatments!AF25</f>
        <v>All crashes / Only: Vehicle/pedestrian</v>
      </c>
      <c r="AA57" s="0" t="str">
        <f aca="false">IF(OR(Treatments!AH25="Overstates",Treatments!AH25="Check"),UPPER(Treatments!AH25)&amp;": "&amp;Treatments!AI25&amp;". ","")&amp;IF(Treatments!AG25="","",Treatments!AG25)</f>
        <v/>
      </c>
    </row>
    <row r="58" customFormat="false" ht="12.75" hidden="true" customHeight="false" outlineLevel="0" collapsed="false">
      <c r="A58" s="0" t="n">
        <v>24</v>
      </c>
      <c r="B58" s="0" t="str">
        <f aca="false">Treatments!A26</f>
        <v>Install Raised Median With Or Without Marked Crosswalk (Uncontrolled)</v>
      </c>
      <c r="C58" s="0" t="str">
        <f aca="false">Treatments!B26</f>
        <v>CM: Medians and Pedestrian Refuge Islands in Urban and Suburban Areas</v>
      </c>
      <c r="D58" s="0" t="n">
        <f aca="false">Treatments!Q26</f>
        <v>31.5</v>
      </c>
      <c r="E58" s="0" t="n">
        <f aca="false">Treatments!P26</f>
        <v>0.685</v>
      </c>
      <c r="F58" s="0" t="n">
        <f aca="false">IF(ISNUMBER(Treatments!N26),Treatments!N26,0)</f>
        <v>4</v>
      </c>
      <c r="G58" s="0" t="n">
        <f aca="false">IF(ISNUMBER(Treatments!U26),Treatments!U26,"")</f>
        <v>1245</v>
      </c>
      <c r="H58" s="0" t="n">
        <f aca="false">IF(ISNUMBER(Treatments!V26),Treatments!V26,"")</f>
        <v>46000</v>
      </c>
      <c r="I58" s="0" t="s">
        <v>77</v>
      </c>
      <c r="J58" s="0" t="s">
        <v>82</v>
      </c>
      <c r="K58" s="0" t="s">
        <v>83</v>
      </c>
      <c r="L58" s="0" t="s">
        <v>84</v>
      </c>
      <c r="M58" s="0" t="n">
        <f aca="false">IF(ISNUMBER(SEARCH("|"&amp;$C$7&amp;"|",L58)),45,IF(ISNUMBER(SEARCH("|All|",L58)),18,0))</f>
        <v>0</v>
      </c>
      <c r="N58" s="0" t="n">
        <f aca="false">IF(OR($C$4="Any",I58="All"),12,IF(ISNUMBER(SEARCH($C$4,I58)),12,0))</f>
        <v>12</v>
      </c>
      <c r="O58" s="0" t="n">
        <f aca="false">IF(OR($C$5="Any",J58="Any",J58=$C$5),13,0)</f>
        <v>13</v>
      </c>
      <c r="P58" s="0" t="n">
        <f aca="false">IF(OR($C$6="Any",K58="Any",K58=$C$6),10,0)</f>
        <v>10</v>
      </c>
      <c r="Q58" s="0" t="n">
        <f aca="false">IF($C$8="",4,IF(AND(ISNUMBER(G58),ISNUMBER(H58)),IF(AND($C$8&gt;=G58,$C$8&lt;=H58),7,0),4))</f>
        <v>4</v>
      </c>
      <c r="R58" s="0" t="n">
        <f aca="false">M58+N58+O58+P58+Q58+V58+Y58</f>
        <v>52</v>
      </c>
      <c r="S58" s="0" t="n">
        <f aca="false">IF(OR(M58=0,W58=0),-A58,R58*100+D58+F58*0.5-A58*0.001)</f>
        <v>-24</v>
      </c>
      <c r="T58" s="0" t="str">
        <f aca="false">Treatments!M26</f>
        <v>Added  </v>
      </c>
      <c r="U58" s="0" t="s">
        <v>71</v>
      </c>
      <c r="V58" s="0" t="n">
        <f aca="false">IF(OR($C$11="Any",U58="Any",U58=$C$11),8,0)</f>
        <v>8</v>
      </c>
      <c r="W58" s="0" t="n">
        <f aca="false">IF(LEFT(Treatments!AD26,3)="Yes",1,0)</f>
        <v>1</v>
      </c>
      <c r="X58" s="0" t="str">
        <f aca="false">Treatments!AE26</f>
        <v>All crashes</v>
      </c>
      <c r="Y58" s="0" t="n">
        <f aca="false">IF($C$12="Any",5,IF($C$12=X58,5,IF(AND($C$12="Fatal &amp; injury only",X58="All crashes"),3,0)))</f>
        <v>5</v>
      </c>
      <c r="Z58" s="0" t="str">
        <f aca="false">Treatments!AE26&amp;" / "&amp;Treatments!AF26</f>
        <v>All crashes / Only: Vehicle/pedestrian</v>
      </c>
      <c r="AA58" s="0" t="str">
        <f aca="false">IF(OR(Treatments!AH26="Overstates",Treatments!AH26="Check"),UPPER(Treatments!AH26)&amp;": "&amp;Treatments!AI26&amp;". ","")&amp;IF(Treatments!AG26="","",Treatments!AG26)</f>
        <v>AADT tested: 1,245-46,000.</v>
      </c>
    </row>
    <row r="59" customFormat="false" ht="12.75" hidden="true" customHeight="false" outlineLevel="0" collapsed="false">
      <c r="A59" s="0" t="n">
        <v>25</v>
      </c>
      <c r="B59" s="0" t="str">
        <f aca="false">Treatments!A27</f>
        <v>Install Raised Median</v>
      </c>
      <c r="C59" s="0" t="str">
        <f aca="false">Treatments!B27</f>
        <v>CM: Medians and Pedestrian Refuge Islands in Urban and Suburban Areas</v>
      </c>
      <c r="D59" s="0" t="n">
        <f aca="false">Treatments!Q27</f>
        <v>71</v>
      </c>
      <c r="E59" s="0" t="n">
        <f aca="false">Treatments!P27</f>
        <v>0.29</v>
      </c>
      <c r="F59" s="0" t="n">
        <f aca="false">IF(ISNUMBER(Treatments!N27),Treatments!N27,0)</f>
        <v>4</v>
      </c>
      <c r="G59" s="0" t="n">
        <f aca="false">IF(ISNUMBER(Treatments!U27),Treatments!U27,"")</f>
        <v>1390</v>
      </c>
      <c r="H59" s="0" t="n">
        <f aca="false">IF(ISNUMBER(Treatments!V27),Treatments!V27,"")</f>
        <v>51200</v>
      </c>
      <c r="I59" s="0" t="s">
        <v>67</v>
      </c>
      <c r="J59" s="0" t="s">
        <v>82</v>
      </c>
      <c r="K59" s="0" t="s">
        <v>83</v>
      </c>
      <c r="L59" s="0" t="s">
        <v>85</v>
      </c>
      <c r="M59" s="0" t="n">
        <f aca="false">IF(ISNUMBER(SEARCH("|"&amp;$C$7&amp;"|",L59)),45,IF(ISNUMBER(SEARCH("|All|",L59)),18,0))</f>
        <v>18</v>
      </c>
      <c r="N59" s="0" t="n">
        <f aca="false">IF(OR($C$4="Any",I59="All"),12,IF(ISNUMBER(SEARCH($C$4,I59)),12,0))</f>
        <v>12</v>
      </c>
      <c r="O59" s="0" t="n">
        <f aca="false">IF(OR($C$5="Any",J59="Any",J59=$C$5),13,0)</f>
        <v>13</v>
      </c>
      <c r="P59" s="0" t="n">
        <f aca="false">IF(OR($C$6="Any",K59="Any",K59=$C$6),10,0)</f>
        <v>10</v>
      </c>
      <c r="Q59" s="0" t="n">
        <f aca="false">IF($C$8="",4,IF(AND(ISNUMBER(G59),ISNUMBER(H59)),IF(AND($C$8&gt;=G59,$C$8&lt;=H59),7,0),4))</f>
        <v>4</v>
      </c>
      <c r="R59" s="0" t="n">
        <f aca="false">M59+N59+O59+P59+Q59+V59+Y59</f>
        <v>70</v>
      </c>
      <c r="S59" s="0" t="n">
        <f aca="false">IF(OR(M59=0,W59=0),-A59,R59*100+D59+F59*0.5-A59*0.001)</f>
        <v>7072.975</v>
      </c>
      <c r="T59" s="0" t="str">
        <f aca="false">Treatments!M27</f>
        <v>Added  </v>
      </c>
      <c r="U59" s="0" t="s">
        <v>71</v>
      </c>
      <c r="V59" s="0" t="n">
        <f aca="false">IF(OR($C$11="Any",U59="Any",U59=$C$11),8,0)</f>
        <v>8</v>
      </c>
      <c r="W59" s="0" t="n">
        <f aca="false">IF(LEFT(Treatments!AD27,3)="Yes",1,0)</f>
        <v>1</v>
      </c>
      <c r="X59" s="0" t="str">
        <f aca="false">Treatments!AE27</f>
        <v>All crashes</v>
      </c>
      <c r="Y59" s="0" t="n">
        <f aca="false">IF($C$12="Any",5,IF($C$12=X59,5,IF(AND($C$12="Fatal &amp; injury only",X59="All crashes"),3,0)))</f>
        <v>5</v>
      </c>
      <c r="Z59" s="0" t="str">
        <f aca="false">Treatments!AE27&amp;" / "&amp;Treatments!AF27</f>
        <v>All crashes / All crash types</v>
      </c>
      <c r="AA59" s="0" t="str">
        <f aca="false">IF(OR(Treatments!AH27="Overstates",Treatments!AH27="Check"),UPPER(Treatments!AH27)&amp;": "&amp;Treatments!AI27&amp;". ","")&amp;IF(Treatments!AG27="","",Treatments!AG27)</f>
        <v>AADT tested: 1,390-51,200.</v>
      </c>
    </row>
    <row r="60" customFormat="false" ht="12.75" hidden="true" customHeight="false" outlineLevel="0" collapsed="false">
      <c r="A60" s="0" t="n">
        <v>26</v>
      </c>
      <c r="B60" s="0" t="str">
        <f aca="false">Treatments!A28</f>
        <v>Install A Pedestrian Hybrid Beacon (Phb Or Hawk)</v>
      </c>
      <c r="C60" s="0" t="str">
        <f aca="false">Treatments!B28</f>
        <v>CM: Pedestrian Hybrid Beacons</v>
      </c>
      <c r="D60" s="0" t="n">
        <f aca="false">Treatments!Q28</f>
        <v>54.7</v>
      </c>
      <c r="E60" s="0" t="n">
        <f aca="false">Treatments!P28</f>
        <v>0.453</v>
      </c>
      <c r="F60" s="0" t="n">
        <f aca="false">IF(ISNUMBER(Treatments!N28),Treatments!N28,0)</f>
        <v>3</v>
      </c>
      <c r="G60" s="0" t="n">
        <f aca="false">IF(ISNUMBER(Treatments!U28),Treatments!U28,"")</f>
        <v>6634</v>
      </c>
      <c r="H60" s="0" t="n">
        <f aca="false">IF(ISNUMBER(Treatments!V28),Treatments!V28,"")</f>
        <v>48791</v>
      </c>
      <c r="I60" s="0" t="s">
        <v>77</v>
      </c>
      <c r="J60" s="0" t="s">
        <v>82</v>
      </c>
      <c r="K60" s="0" t="s">
        <v>83</v>
      </c>
      <c r="L60" s="0" t="s">
        <v>84</v>
      </c>
      <c r="M60" s="0" t="n">
        <f aca="false">IF(ISNUMBER(SEARCH("|"&amp;$C$7&amp;"|",L60)),45,IF(ISNUMBER(SEARCH("|All|",L60)),18,0))</f>
        <v>0</v>
      </c>
      <c r="N60" s="0" t="n">
        <f aca="false">IF(OR($C$4="Any",I60="All"),12,IF(ISNUMBER(SEARCH($C$4,I60)),12,0))</f>
        <v>12</v>
      </c>
      <c r="O60" s="0" t="n">
        <f aca="false">IF(OR($C$5="Any",J60="Any",J60=$C$5),13,0)</f>
        <v>13</v>
      </c>
      <c r="P60" s="0" t="n">
        <f aca="false">IF(OR($C$6="Any",K60="Any",K60=$C$6),10,0)</f>
        <v>10</v>
      </c>
      <c r="Q60" s="0" t="n">
        <f aca="false">IF($C$8="",4,IF(AND(ISNUMBER(G60),ISNUMBER(H60)),IF(AND($C$8&gt;=G60,$C$8&lt;=H60),7,0),4))</f>
        <v>4</v>
      </c>
      <c r="R60" s="0" t="n">
        <f aca="false">M60+N60+O60+P60+Q60+V60+Y60</f>
        <v>52</v>
      </c>
      <c r="S60" s="0" t="n">
        <f aca="false">IF(OR(M60=0,W60=0),-A60,R60*100+D60+F60*0.5-A60*0.001)</f>
        <v>-26</v>
      </c>
      <c r="T60" s="0" t="str">
        <f aca="false">Treatments!M28</f>
        <v>Original </v>
      </c>
      <c r="U60" s="0" t="s">
        <v>71</v>
      </c>
      <c r="V60" s="0" t="n">
        <f aca="false">IF(OR($C$11="Any",U60="Any",U60=$C$11),8,0)</f>
        <v>8</v>
      </c>
      <c r="W60" s="0" t="n">
        <f aca="false">IF(LEFT(Treatments!AD28,3)="Yes",1,0)</f>
        <v>1</v>
      </c>
      <c r="X60" s="0" t="str">
        <f aca="false">Treatments!AE28</f>
        <v>All crashes</v>
      </c>
      <c r="Y60" s="0" t="n">
        <f aca="false">IF($C$12="Any",5,IF($C$12=X60,5,IF(AND($C$12="Fatal &amp; injury only",X60="All crashes"),3,0)))</f>
        <v>5</v>
      </c>
      <c r="Z60" s="0" t="str">
        <f aca="false">Treatments!AE28&amp;" / "&amp;Treatments!AF28</f>
        <v>All crashes / Only: Vehicle/pedestrian</v>
      </c>
      <c r="AA60" s="0" t="str">
        <f aca="false">IF(OR(Treatments!AH28="Overstates",Treatments!AH28="Check"),UPPER(Treatments!AH28)&amp;": "&amp;Treatments!AI28&amp;". ","")&amp;IF(Treatments!AG28="","",Treatments!AG28)</f>
        <v>AADT tested: 6,634-48,791.</v>
      </c>
    </row>
    <row r="61" customFormat="false" ht="12.75" hidden="true" customHeight="false" outlineLevel="0" collapsed="false">
      <c r="A61" s="0" t="n">
        <v>27</v>
      </c>
      <c r="B61" s="0" t="str">
        <f aca="false">Treatments!A29</f>
        <v>Install Pedestrian Hybrid Beacon (PHB Or HAWK) With Advanced Yield Or Stop Markings And Signs</v>
      </c>
      <c r="C61" s="0" t="str">
        <f aca="false">Treatments!B29</f>
        <v>CM: Pedestrian Hybrid Beacons</v>
      </c>
      <c r="D61" s="0" t="n">
        <f aca="false">Treatments!Q29</f>
        <v>56.8</v>
      </c>
      <c r="E61" s="0" t="n">
        <f aca="false">Treatments!P29</f>
        <v>0.432</v>
      </c>
      <c r="F61" s="0" t="n">
        <f aca="false">IF(ISNUMBER(Treatments!N29),Treatments!N29,0)</f>
        <v>4</v>
      </c>
      <c r="G61" s="0" t="n">
        <f aca="false">IF(ISNUMBER(Treatments!U29),Treatments!U29,"")</f>
        <v>6634</v>
      </c>
      <c r="H61" s="0" t="n">
        <f aca="false">IF(ISNUMBER(Treatments!V29),Treatments!V29,"")</f>
        <v>48791</v>
      </c>
      <c r="I61" s="0" t="s">
        <v>77</v>
      </c>
      <c r="J61" s="0" t="s">
        <v>82</v>
      </c>
      <c r="K61" s="0" t="s">
        <v>83</v>
      </c>
      <c r="L61" s="0" t="s">
        <v>84</v>
      </c>
      <c r="M61" s="0" t="n">
        <f aca="false">IF(ISNUMBER(SEARCH("|"&amp;$C$7&amp;"|",L61)),45,IF(ISNUMBER(SEARCH("|All|",L61)),18,0))</f>
        <v>0</v>
      </c>
      <c r="N61" s="0" t="n">
        <f aca="false">IF(OR($C$4="Any",I61="All"),12,IF(ISNUMBER(SEARCH($C$4,I61)),12,0))</f>
        <v>12</v>
      </c>
      <c r="O61" s="0" t="n">
        <f aca="false">IF(OR($C$5="Any",J61="Any",J61=$C$5),13,0)</f>
        <v>13</v>
      </c>
      <c r="P61" s="0" t="n">
        <f aca="false">IF(OR($C$6="Any",K61="Any",K61=$C$6),10,0)</f>
        <v>10</v>
      </c>
      <c r="Q61" s="0" t="n">
        <f aca="false">IF($C$8="",4,IF(AND(ISNUMBER(G61),ISNUMBER(H61)),IF(AND($C$8&gt;=G61,$C$8&lt;=H61),7,0),4))</f>
        <v>4</v>
      </c>
      <c r="R61" s="0" t="n">
        <f aca="false">M61+N61+O61+P61+Q61+V61+Y61</f>
        <v>52</v>
      </c>
      <c r="S61" s="0" t="n">
        <f aca="false">IF(OR(M61=0,W61=0),-A61,R61*100+D61+F61*0.5-A61*0.001)</f>
        <v>-27</v>
      </c>
      <c r="T61" s="0" t="str">
        <f aca="false">Treatments!M29</f>
        <v>Added  </v>
      </c>
      <c r="U61" s="0" t="s">
        <v>71</v>
      </c>
      <c r="V61" s="0" t="n">
        <f aca="false">IF(OR($C$11="Any",U61="Any",U61=$C$11),8,0)</f>
        <v>8</v>
      </c>
      <c r="W61" s="0" t="n">
        <f aca="false">IF(LEFT(Treatments!AD29,3)="Yes",1,0)</f>
        <v>1</v>
      </c>
      <c r="X61" s="0" t="str">
        <f aca="false">Treatments!AE29</f>
        <v>All crashes</v>
      </c>
      <c r="Y61" s="0" t="n">
        <f aca="false">IF($C$12="Any",5,IF($C$12=X61,5,IF(AND($C$12="Fatal &amp; injury only",X61="All crashes"),3,0)))</f>
        <v>5</v>
      </c>
      <c r="Z61" s="0" t="str">
        <f aca="false">Treatments!AE29&amp;" / "&amp;Treatments!AF29</f>
        <v>All crashes / Only: Vehicle/pedestrian</v>
      </c>
      <c r="AA61" s="0" t="str">
        <f aca="false">IF(OR(Treatments!AH29="Overstates",Treatments!AH29="Check"),UPPER(Treatments!AH29)&amp;": "&amp;Treatments!AI29&amp;". ","")&amp;IF(Treatments!AG29="","",Treatments!AG29)</f>
        <v>AADT tested: 6,634-48,791.</v>
      </c>
    </row>
    <row r="62" customFormat="false" ht="12.75" hidden="true" customHeight="false" outlineLevel="0" collapsed="false">
      <c r="A62" s="0" t="n">
        <v>28</v>
      </c>
      <c r="B62" s="0" t="str">
        <f aca="false">Treatments!A30</f>
        <v>Install A Pedestrian Hybrid Beacon (PHB Or HAWK)</v>
      </c>
      <c r="C62" s="0" t="str">
        <f aca="false">Treatments!B30</f>
        <v>CM: Pedestrian Hybrid Beacons</v>
      </c>
      <c r="D62" s="0" t="n">
        <f aca="false">Treatments!Q30</f>
        <v>45.7</v>
      </c>
      <c r="E62" s="0" t="n">
        <f aca="false">Treatments!P30</f>
        <v>0.543</v>
      </c>
      <c r="F62" s="0" t="n">
        <f aca="false">IF(ISNUMBER(Treatments!N30),Treatments!N30,0)</f>
        <v>5</v>
      </c>
      <c r="G62" s="0" t="n">
        <f aca="false">IF(ISNUMBER(Treatments!U30),Treatments!U30,"")</f>
        <v>5400</v>
      </c>
      <c r="H62" s="0" t="n">
        <f aca="false">IF(ISNUMBER(Treatments!V30),Treatments!V30,"")</f>
        <v>47627</v>
      </c>
      <c r="I62" s="0" t="s">
        <v>77</v>
      </c>
      <c r="J62" s="0" t="s">
        <v>82</v>
      </c>
      <c r="K62" s="0" t="s">
        <v>83</v>
      </c>
      <c r="L62" s="0" t="s">
        <v>84</v>
      </c>
      <c r="M62" s="0" t="n">
        <f aca="false">IF(ISNUMBER(SEARCH("|"&amp;$C$7&amp;"|",L62)),45,IF(ISNUMBER(SEARCH("|All|",L62)),18,0))</f>
        <v>0</v>
      </c>
      <c r="N62" s="0" t="n">
        <f aca="false">IF(OR($C$4="Any",I62="All"),12,IF(ISNUMBER(SEARCH($C$4,I62)),12,0))</f>
        <v>12</v>
      </c>
      <c r="O62" s="0" t="n">
        <f aca="false">IF(OR($C$5="Any",J62="Any",J62=$C$5),13,0)</f>
        <v>13</v>
      </c>
      <c r="P62" s="0" t="n">
        <f aca="false">IF(OR($C$6="Any",K62="Any",K62=$C$6),10,0)</f>
        <v>10</v>
      </c>
      <c r="Q62" s="0" t="n">
        <f aca="false">IF($C$8="",4,IF(AND(ISNUMBER(G62),ISNUMBER(H62)),IF(AND($C$8&gt;=G62,$C$8&lt;=H62),7,0),4))</f>
        <v>4</v>
      </c>
      <c r="R62" s="0" t="n">
        <f aca="false">M62+N62+O62+P62+Q62+V62+Y62</f>
        <v>52</v>
      </c>
      <c r="S62" s="0" t="n">
        <f aca="false">IF(OR(M62=0,W62=0),-A62,R62*100+D62+F62*0.5-A62*0.001)</f>
        <v>-28</v>
      </c>
      <c r="T62" s="0" t="str">
        <f aca="false">Treatments!M30</f>
        <v>Added  </v>
      </c>
      <c r="U62" s="0" t="s">
        <v>22</v>
      </c>
      <c r="V62" s="0" t="n">
        <f aca="false">IF(OR($C$11="Any",U62="Any",U62=$C$11),8,0)</f>
        <v>8</v>
      </c>
      <c r="W62" s="0" t="n">
        <f aca="false">IF(LEFT(Treatments!AD30,3)="Yes",1,0)</f>
        <v>1</v>
      </c>
      <c r="X62" s="0" t="str">
        <f aca="false">Treatments!AE30</f>
        <v>All crashes</v>
      </c>
      <c r="Y62" s="0" t="n">
        <f aca="false">IF($C$12="Any",5,IF($C$12=X62,5,IF(AND($C$12="Fatal &amp; injury only",X62="All crashes"),3,0)))</f>
        <v>5</v>
      </c>
      <c r="Z62" s="0" t="str">
        <f aca="false">Treatments!AE30&amp;" / "&amp;Treatments!AF30</f>
        <v>All crashes / Only: Vehicle/pedestrian</v>
      </c>
      <c r="AA62" s="0" t="str">
        <f aca="false">IF(OR(Treatments!AH30="Overstates",Treatments!AH30="Check"),UPPER(Treatments!AH30)&amp;": "&amp;Treatments!AI30&amp;". ","")&amp;IF(Treatments!AG30="","",Treatments!AG30)</f>
        <v>AADT tested: 5,400-47,627.</v>
      </c>
    </row>
    <row r="63" customFormat="false" ht="12.75" hidden="true" customHeight="false" outlineLevel="0" collapsed="false">
      <c r="A63" s="0" t="n">
        <v>29</v>
      </c>
      <c r="B63" s="0" t="str">
        <f aca="false">Treatments!A31</f>
        <v>Install Rectangular Rapid Flashing Beacon (Rrfb)</v>
      </c>
      <c r="C63" s="0" t="str">
        <f aca="false">Treatments!B31</f>
        <v>CM: Rectangular Rapid Flashing Beacons (RRFB)</v>
      </c>
      <c r="D63" s="0" t="n">
        <f aca="false">Treatments!Q31</f>
        <v>47.4</v>
      </c>
      <c r="E63" s="0" t="n">
        <f aca="false">Treatments!P31</f>
        <v>0.526</v>
      </c>
      <c r="F63" s="0" t="n">
        <f aca="false">IF(ISNUMBER(Treatments!N31),Treatments!N31,0)</f>
        <v>3</v>
      </c>
      <c r="G63" s="0" t="n">
        <f aca="false">IF(ISNUMBER(Treatments!U31),Treatments!U31,"")</f>
        <v>533</v>
      </c>
      <c r="H63" s="0" t="n">
        <f aca="false">IF(ISNUMBER(Treatments!V31),Treatments!V31,"")</f>
        <v>49402</v>
      </c>
      <c r="I63" s="0" t="s">
        <v>77</v>
      </c>
      <c r="J63" s="0" t="s">
        <v>82</v>
      </c>
      <c r="K63" s="0" t="s">
        <v>83</v>
      </c>
      <c r="L63" s="0" t="s">
        <v>84</v>
      </c>
      <c r="M63" s="0" t="n">
        <f aca="false">IF(ISNUMBER(SEARCH("|"&amp;$C$7&amp;"|",L63)),45,IF(ISNUMBER(SEARCH("|All|",L63)),18,0))</f>
        <v>0</v>
      </c>
      <c r="N63" s="0" t="n">
        <f aca="false">IF(OR($C$4="Any",I63="All"),12,IF(ISNUMBER(SEARCH($C$4,I63)),12,0))</f>
        <v>12</v>
      </c>
      <c r="O63" s="0" t="n">
        <f aca="false">IF(OR($C$5="Any",J63="Any",J63=$C$5),13,0)</f>
        <v>13</v>
      </c>
      <c r="P63" s="0" t="n">
        <f aca="false">IF(OR($C$6="Any",K63="Any",K63=$C$6),10,0)</f>
        <v>10</v>
      </c>
      <c r="Q63" s="0" t="n">
        <f aca="false">IF($C$8="",4,IF(AND(ISNUMBER(G63),ISNUMBER(H63)),IF(AND($C$8&gt;=G63,$C$8&lt;=H63),7,0),4))</f>
        <v>4</v>
      </c>
      <c r="R63" s="0" t="n">
        <f aca="false">M63+N63+O63+P63+Q63+V63+Y63</f>
        <v>52</v>
      </c>
      <c r="S63" s="0" t="n">
        <f aca="false">IF(OR(M63=0,W63=0),-A63,R63*100+D63+F63*0.5-A63*0.001)</f>
        <v>-29</v>
      </c>
      <c r="T63" s="0" t="str">
        <f aca="false">Treatments!M31</f>
        <v>Original </v>
      </c>
      <c r="U63" s="0" t="s">
        <v>71</v>
      </c>
      <c r="V63" s="0" t="n">
        <f aca="false">IF(OR($C$11="Any",U63="Any",U63=$C$11),8,0)</f>
        <v>8</v>
      </c>
      <c r="W63" s="0" t="n">
        <f aca="false">IF(LEFT(Treatments!AD31,3)="Yes",1,0)</f>
        <v>1</v>
      </c>
      <c r="X63" s="0" t="str">
        <f aca="false">Treatments!AE31</f>
        <v>All crashes</v>
      </c>
      <c r="Y63" s="0" t="n">
        <f aca="false">IF($C$12="Any",5,IF($C$12=X63,5,IF(AND($C$12="Fatal &amp; injury only",X63="All crashes"),3,0)))</f>
        <v>5</v>
      </c>
      <c r="Z63" s="0" t="str">
        <f aca="false">Treatments!AE31&amp;" / "&amp;Treatments!AF31</f>
        <v>All crashes / Only: Vehicle/pedestrian</v>
      </c>
      <c r="AA63" s="0" t="str">
        <f aca="false">IF(OR(Treatments!AH31="Overstates",Treatments!AH31="Check"),UPPER(Treatments!AH31)&amp;": "&amp;Treatments!AI31&amp;". ","")&amp;IF(Treatments!AG31="","",Treatments!AG31)</f>
        <v>AADT tested: 533-49,402.</v>
      </c>
    </row>
    <row r="64" customFormat="false" ht="12.75" hidden="true" customHeight="false" outlineLevel="0" collapsed="false">
      <c r="A64" s="0" t="n">
        <v>30</v>
      </c>
      <c r="B64" s="0" t="str">
        <f aca="false">Treatments!A32</f>
        <v>Install Rectangular Rapid Flashing Beacon (RRFB)</v>
      </c>
      <c r="C64" s="0" t="str">
        <f aca="false">Treatments!B32</f>
        <v>CM: Rectangular Rapid Flashing Beacons (RRFB)</v>
      </c>
      <c r="D64" s="0" t="n">
        <f aca="false">Treatments!Q32</f>
        <v>73</v>
      </c>
      <c r="E64" s="0" t="n">
        <f aca="false">Treatments!P32</f>
        <v>0.27</v>
      </c>
      <c r="F64" s="0" t="n">
        <f aca="false">IF(ISNUMBER(Treatments!N32),Treatments!N32,0)</f>
        <v>4</v>
      </c>
      <c r="G64" s="0" t="str">
        <f aca="false">IF(ISNUMBER(Treatments!U32),Treatments!U32,"")</f>
        <v/>
      </c>
      <c r="H64" s="0" t="str">
        <f aca="false">IF(ISNUMBER(Treatments!V32),Treatments!V32,"")</f>
        <v/>
      </c>
      <c r="I64" s="0" t="s">
        <v>72</v>
      </c>
      <c r="J64" s="0" t="s">
        <v>82</v>
      </c>
      <c r="K64" s="0" t="s">
        <v>83</v>
      </c>
      <c r="L64" s="0" t="s">
        <v>84</v>
      </c>
      <c r="M64" s="0" t="n">
        <f aca="false">IF(ISNUMBER(SEARCH("|"&amp;$C$7&amp;"|",L64)),45,IF(ISNUMBER(SEARCH("|All|",L64)),18,0))</f>
        <v>0</v>
      </c>
      <c r="N64" s="0" t="n">
        <f aca="false">IF(OR($C$4="Any",I64="All"),12,IF(ISNUMBER(SEARCH($C$4,I64)),12,0))</f>
        <v>12</v>
      </c>
      <c r="O64" s="0" t="n">
        <f aca="false">IF(OR($C$5="Any",J64="Any",J64=$C$5),13,0)</f>
        <v>13</v>
      </c>
      <c r="P64" s="0" t="n">
        <f aca="false">IF(OR($C$6="Any",K64="Any",K64=$C$6),10,0)</f>
        <v>10</v>
      </c>
      <c r="Q64" s="0" t="n">
        <f aca="false">IF($C$8="",4,IF(AND(ISNUMBER(G64),ISNUMBER(H64)),IF(AND($C$8&gt;=G64,$C$8&lt;=H64),7,0),4))</f>
        <v>4</v>
      </c>
      <c r="R64" s="0" t="n">
        <f aca="false">M64+N64+O64+P64+Q64+V64+Y64</f>
        <v>52</v>
      </c>
      <c r="S64" s="0" t="n">
        <f aca="false">IF(OR(M64=0,W64=0),-A64,R64*100+D64+F64*0.5-A64*0.001)</f>
        <v>-30</v>
      </c>
      <c r="T64" s="0" t="str">
        <f aca="false">Treatments!M32</f>
        <v>Added  </v>
      </c>
      <c r="U64" s="0" t="s">
        <v>22</v>
      </c>
      <c r="V64" s="0" t="n">
        <f aca="false">IF(OR($C$11="Any",U64="Any",U64=$C$11),8,0)</f>
        <v>8</v>
      </c>
      <c r="W64" s="0" t="n">
        <f aca="false">IF(LEFT(Treatments!AD32,3)="Yes",1,0)</f>
        <v>1</v>
      </c>
      <c r="X64" s="0" t="str">
        <f aca="false">Treatments!AE32</f>
        <v>Fatal &amp; injury only</v>
      </c>
      <c r="Y64" s="0" t="n">
        <f aca="false">IF($C$12="Any",5,IF($C$12=X64,5,IF(AND($C$12="Fatal &amp; injury only",X64="All crashes"),3,0)))</f>
        <v>5</v>
      </c>
      <c r="Z64" s="0" t="str">
        <f aca="false">Treatments!AE32&amp;" / "&amp;Treatments!AF32</f>
        <v>Fatal &amp; injury only / Only: Vehicle/pedestrian</v>
      </c>
      <c r="AA64" s="0" t="str">
        <f aca="false">IF(OR(Treatments!AH32="Overstates",Treatments!AH32="Check"),UPPER(Treatments!AH32)&amp;": "&amp;Treatments!AI32&amp;". ","")&amp;IF(Treatments!AG32="","",Treatments!AG32)</f>
        <v>No AADT range in the study.</v>
      </c>
    </row>
    <row r="65" customFormat="false" ht="12.75" hidden="true" customHeight="false" outlineLevel="0" collapsed="false">
      <c r="A65" s="0" t="n">
        <v>31</v>
      </c>
      <c r="B65" s="0" t="str">
        <f aca="false">Treatments!A33</f>
        <v>Converting Four-Lane Roadways To Three-Lane Roadways With Center Turn Lane (Road Diet)</v>
      </c>
      <c r="C65" s="0" t="str">
        <f aca="false">Treatments!B33</f>
        <v>CM: Road Diets (Roadway Reconfiguration)</v>
      </c>
      <c r="D65" s="0" t="n">
        <f aca="false">Treatments!Q33</f>
        <v>18.8</v>
      </c>
      <c r="E65" s="0" t="n">
        <f aca="false">Treatments!P33</f>
        <v>0.812</v>
      </c>
      <c r="F65" s="0" t="n">
        <f aca="false">IF(ISNUMBER(Treatments!N33),Treatments!N33,0)</f>
        <v>4</v>
      </c>
      <c r="G65" s="0" t="n">
        <f aca="false">IF(ISNUMBER(Treatments!U33),Treatments!U33,"")</f>
        <v>2030</v>
      </c>
      <c r="H65" s="0" t="n">
        <f aca="false">IF(ISNUMBER(Treatments!V33),Treatments!V33,"")</f>
        <v>15350</v>
      </c>
      <c r="I65" s="0" t="s">
        <v>67</v>
      </c>
      <c r="J65" s="0" t="s">
        <v>68</v>
      </c>
      <c r="K65" s="0" t="s">
        <v>22</v>
      </c>
      <c r="L65" s="0" t="s">
        <v>86</v>
      </c>
      <c r="M65" s="0" t="n">
        <f aca="false">IF(ISNUMBER(SEARCH("|"&amp;$C$7&amp;"|",L65)),45,IF(ISNUMBER(SEARCH("|All|",L65)),18,0))</f>
        <v>18</v>
      </c>
      <c r="N65" s="0" t="n">
        <f aca="false">IF(OR($C$4="Any",I65="All"),12,IF(ISNUMBER(SEARCH($C$4,I65)),12,0))</f>
        <v>12</v>
      </c>
      <c r="O65" s="0" t="n">
        <f aca="false">IF(OR($C$5="Any",J65="Any",J65=$C$5),13,0)</f>
        <v>13</v>
      </c>
      <c r="P65" s="0" t="n">
        <f aca="false">IF(OR($C$6="Any",K65="Any",K65=$C$6),10,0)</f>
        <v>10</v>
      </c>
      <c r="Q65" s="0" t="n">
        <f aca="false">IF($C$8="",4,IF(AND(ISNUMBER(G65),ISNUMBER(H65)),IF(AND($C$8&gt;=G65,$C$8&lt;=H65),7,0),4))</f>
        <v>4</v>
      </c>
      <c r="R65" s="0" t="n">
        <f aca="false">M65+N65+O65+P65+Q65+V65+Y65</f>
        <v>70</v>
      </c>
      <c r="S65" s="0" t="n">
        <f aca="false">IF(OR(M65=0,W65=0),-A65,R65*100+D65+F65*0.5-A65*0.001)</f>
        <v>7020.769</v>
      </c>
      <c r="T65" s="0" t="str">
        <f aca="false">Treatments!M33</f>
        <v>Original </v>
      </c>
      <c r="U65" s="0" t="s">
        <v>22</v>
      </c>
      <c r="V65" s="0" t="n">
        <f aca="false">IF(OR($C$11="Any",U65="Any",U65=$C$11),8,0)</f>
        <v>8</v>
      </c>
      <c r="W65" s="0" t="n">
        <f aca="false">IF(LEFT(Treatments!AD33,3)="Yes",1,0)</f>
        <v>1</v>
      </c>
      <c r="X65" s="0" t="str">
        <f aca="false">Treatments!AE33</f>
        <v>All crashes</v>
      </c>
      <c r="Y65" s="0" t="n">
        <f aca="false">IF($C$12="Any",5,IF($C$12=X65,5,IF(AND($C$12="Fatal &amp; injury only",X65="All crashes"),3,0)))</f>
        <v>5</v>
      </c>
      <c r="Z65" s="0" t="str">
        <f aca="false">Treatments!AE33&amp;" / "&amp;Treatments!AF33</f>
        <v>All crashes / All crash types</v>
      </c>
      <c r="AA65" s="0" t="str">
        <f aca="false">IF(OR(Treatments!AH33="Overstates",Treatments!AH33="Check"),UPPER(Treatments!AH33)&amp;": "&amp;Treatments!AI33&amp;". ","")&amp;IF(Treatments!AG33="","",Treatments!AG33)</f>
        <v>AADT tested: 2,030-15,350.</v>
      </c>
    </row>
    <row r="66" customFormat="false" ht="12.75" hidden="true" customHeight="false" outlineLevel="0" collapsed="false">
      <c r="A66" s="0" t="n">
        <v>32</v>
      </c>
      <c r="B66" s="0" t="str">
        <f aca="false">Treatments!A34</f>
        <v>Road Diet (Convert 4-Lane Undivided Road To 2-Lanes Plus Turning Lane)</v>
      </c>
      <c r="C66" s="0" t="str">
        <f aca="false">Treatments!B34</f>
        <v>CM: Road Diets (Roadway Reconfiguration)</v>
      </c>
      <c r="D66" s="0" t="n">
        <f aca="false">Treatments!Q34</f>
        <v>38.7</v>
      </c>
      <c r="E66" s="0" t="n">
        <f aca="false">Treatments!P34</f>
        <v>0.613</v>
      </c>
      <c r="F66" s="0" t="n">
        <f aca="false">IF(ISNUMBER(Treatments!N34),Treatments!N34,0)</f>
        <v>4</v>
      </c>
      <c r="G66" s="0" t="n">
        <f aca="false">IF(ISNUMBER(Treatments!U34),Treatments!U34,"")</f>
        <v>8333</v>
      </c>
      <c r="H66" s="0" t="n">
        <f aca="false">IF(ISNUMBER(Treatments!V34),Treatments!V34,"")</f>
        <v>13900</v>
      </c>
      <c r="I66" s="0" t="s">
        <v>67</v>
      </c>
      <c r="J66" s="0" t="s">
        <v>68</v>
      </c>
      <c r="K66" s="0" t="s">
        <v>22</v>
      </c>
      <c r="L66" s="0" t="s">
        <v>87</v>
      </c>
      <c r="M66" s="0" t="n">
        <f aca="false">IF(ISNUMBER(SEARCH("|"&amp;$C$7&amp;"|",L66)),45,IF(ISNUMBER(SEARCH("|All|",L66)),18,0))</f>
        <v>0</v>
      </c>
      <c r="N66" s="0" t="n">
        <f aca="false">IF(OR($C$4="Any",I66="All"),12,IF(ISNUMBER(SEARCH($C$4,I66)),12,0))</f>
        <v>12</v>
      </c>
      <c r="O66" s="0" t="n">
        <f aca="false">IF(OR($C$5="Any",J66="Any",J66=$C$5),13,0)</f>
        <v>13</v>
      </c>
      <c r="P66" s="0" t="n">
        <f aca="false">IF(OR($C$6="Any",K66="Any",K66=$C$6),10,0)</f>
        <v>10</v>
      </c>
      <c r="Q66" s="0" t="n">
        <f aca="false">IF($C$8="",4,IF(AND(ISNUMBER(G66),ISNUMBER(H66)),IF(AND($C$8&gt;=G66,$C$8&lt;=H66),7,0),4))</f>
        <v>4</v>
      </c>
      <c r="R66" s="0" t="n">
        <f aca="false">M66+N66+O66+P66+Q66+V66+Y66</f>
        <v>52</v>
      </c>
      <c r="S66" s="0" t="n">
        <f aca="false">IF(OR(M66=0,W66=0),-A66,R66*100+D66+F66*0.5-A66*0.001)</f>
        <v>-32</v>
      </c>
      <c r="T66" s="0" t="str">
        <f aca="false">Treatments!M34</f>
        <v>Added  </v>
      </c>
      <c r="U66" s="0" t="s">
        <v>22</v>
      </c>
      <c r="V66" s="0" t="n">
        <f aca="false">IF(OR($C$11="Any",U66="Any",U66=$C$11),8,0)</f>
        <v>8</v>
      </c>
      <c r="W66" s="0" t="n">
        <f aca="false">IF(LEFT(Treatments!AD34,3)="Yes",1,0)</f>
        <v>1</v>
      </c>
      <c r="X66" s="0" t="str">
        <f aca="false">Treatments!AE34</f>
        <v>All crashes</v>
      </c>
      <c r="Y66" s="0" t="n">
        <f aca="false">IF($C$12="Any",5,IF($C$12=X66,5,IF(AND($C$12="Fatal &amp; injury only",X66="All crashes"),3,0)))</f>
        <v>5</v>
      </c>
      <c r="Z66" s="0" t="str">
        <f aca="false">Treatments!AE34&amp;" / "&amp;Treatments!AF34</f>
        <v>All crashes / Only: Non-intersection</v>
      </c>
      <c r="AA66" s="0" t="str">
        <f aca="false">IF(OR(Treatments!AH34="Overstates",Treatments!AH34="Check"),UPPER(Treatments!AH34)&amp;": "&amp;Treatments!AI34&amp;". ","")&amp;IF(Treatments!AG34="","",Treatments!AG34)</f>
        <v>AADT tested: 8,333-13,900.</v>
      </c>
    </row>
    <row r="67" customFormat="false" ht="12.75" hidden="true" customHeight="false" outlineLevel="0" collapsed="false">
      <c r="A67" s="0" t="n">
        <v>33</v>
      </c>
      <c r="B67" s="0" t="str">
        <f aca="false">Treatments!A35</f>
        <v>Converting Four-Lane Roadways To Three-Lane Roadways With Center Turn Lane (Road Diet)</v>
      </c>
      <c r="C67" s="0" t="str">
        <f aca="false">Treatments!B35</f>
        <v>CM: Road Diets (Roadway Reconfiguration)</v>
      </c>
      <c r="D67" s="0" t="n">
        <f aca="false">Treatments!Q35</f>
        <v>25.2</v>
      </c>
      <c r="E67" s="0" t="n">
        <f aca="false">Treatments!P35</f>
        <v>0.748</v>
      </c>
      <c r="F67" s="0" t="n">
        <f aca="false">IF(ISNUMBER(Treatments!N35),Treatments!N35,0)</f>
        <v>4</v>
      </c>
      <c r="G67" s="0" t="n">
        <f aca="false">IF(ISNUMBER(Treatments!U35),Treatments!U35,"")</f>
        <v>2030</v>
      </c>
      <c r="H67" s="0" t="n">
        <f aca="false">IF(ISNUMBER(Treatments!V35),Treatments!V35,"")</f>
        <v>15350</v>
      </c>
      <c r="I67" s="0" t="s">
        <v>67</v>
      </c>
      <c r="J67" s="0" t="s">
        <v>68</v>
      </c>
      <c r="K67" s="0" t="s">
        <v>22</v>
      </c>
      <c r="L67" s="0" t="s">
        <v>86</v>
      </c>
      <c r="M67" s="0" t="n">
        <f aca="false">IF(ISNUMBER(SEARCH("|"&amp;$C$7&amp;"|",L67)),45,IF(ISNUMBER(SEARCH("|All|",L67)),18,0))</f>
        <v>18</v>
      </c>
      <c r="N67" s="0" t="n">
        <f aca="false">IF(OR($C$4="Any",I67="All"),12,IF(ISNUMBER(SEARCH($C$4,I67)),12,0))</f>
        <v>12</v>
      </c>
      <c r="O67" s="0" t="n">
        <f aca="false">IF(OR($C$5="Any",J67="Any",J67=$C$5),13,0)</f>
        <v>13</v>
      </c>
      <c r="P67" s="0" t="n">
        <f aca="false">IF(OR($C$6="Any",K67="Any",K67=$C$6),10,0)</f>
        <v>10</v>
      </c>
      <c r="Q67" s="0" t="n">
        <f aca="false">IF($C$8="",4,IF(AND(ISNUMBER(G67),ISNUMBER(H67)),IF(AND($C$8&gt;=G67,$C$8&lt;=H67),7,0),4))</f>
        <v>4</v>
      </c>
      <c r="R67" s="0" t="n">
        <f aca="false">M67+N67+O67+P67+Q67+V67+Y67</f>
        <v>70</v>
      </c>
      <c r="S67" s="0" t="n">
        <f aca="false">IF(OR(M67=0,W67=0),-A67,R67*100+D67+F67*0.5-A67*0.001)</f>
        <v>7027.167</v>
      </c>
      <c r="T67" s="0" t="str">
        <f aca="false">Treatments!M35</f>
        <v>Added  </v>
      </c>
      <c r="U67" s="0" t="s">
        <v>22</v>
      </c>
      <c r="V67" s="0" t="n">
        <f aca="false">IF(OR($C$11="Any",U67="Any",U67=$C$11),8,0)</f>
        <v>8</v>
      </c>
      <c r="W67" s="0" t="n">
        <f aca="false">IF(LEFT(Treatments!AD35,3)="Yes",1,0)</f>
        <v>1</v>
      </c>
      <c r="X67" s="0" t="str">
        <f aca="false">Treatments!AE35</f>
        <v>All crashes</v>
      </c>
      <c r="Y67" s="0" t="n">
        <f aca="false">IF($C$12="Any",5,IF($C$12=X67,5,IF(AND($C$12="Fatal &amp; injury only",X67="All crashes"),3,0)))</f>
        <v>5</v>
      </c>
      <c r="Z67" s="0" t="str">
        <f aca="false">Treatments!AE35&amp;" / "&amp;Treatments!AF35</f>
        <v>All crashes / All crash types</v>
      </c>
      <c r="AA67" s="0" t="str">
        <f aca="false">IF(OR(Treatments!AH35="Overstates",Treatments!AH35="Check"),UPPER(Treatments!AH35)&amp;": "&amp;Treatments!AI35&amp;". ","")&amp;IF(Treatments!AG35="","",Treatments!AG35)</f>
        <v>AADT tested: 2,030-15,350.</v>
      </c>
    </row>
    <row r="68" customFormat="false" ht="12.75" hidden="true" customHeight="false" outlineLevel="0" collapsed="false">
      <c r="A68" s="0" t="n">
        <v>34</v>
      </c>
      <c r="B68" s="0" t="str">
        <f aca="false">Treatments!A36</f>
        <v>Install Sidewalk</v>
      </c>
      <c r="C68" s="0" t="str">
        <f aca="false">Treatments!B36</f>
        <v>CM: Walkways</v>
      </c>
      <c r="D68" s="0" t="n">
        <f aca="false">Treatments!Q36</f>
        <v>40.2</v>
      </c>
      <c r="E68" s="0" t="n">
        <f aca="false">Treatments!P36</f>
        <v>0.598</v>
      </c>
      <c r="F68" s="0" t="n">
        <f aca="false">IF(ISNUMBER(Treatments!N36),Treatments!N36,0)</f>
        <v>4</v>
      </c>
      <c r="G68" s="0" t="str">
        <f aca="false">IF(ISNUMBER(Treatments!U36),Treatments!U36,"")</f>
        <v/>
      </c>
      <c r="H68" s="0" t="str">
        <f aca="false">IF(ISNUMBER(Treatments!V36),Treatments!V36,"")</f>
        <v/>
      </c>
      <c r="I68" s="0" t="s">
        <v>72</v>
      </c>
      <c r="J68" s="0" t="s">
        <v>68</v>
      </c>
      <c r="K68" s="0" t="s">
        <v>22</v>
      </c>
      <c r="L68" s="0" t="s">
        <v>84</v>
      </c>
      <c r="M68" s="0" t="n">
        <f aca="false">IF(ISNUMBER(SEARCH("|"&amp;$C$7&amp;"|",L68)),45,IF(ISNUMBER(SEARCH("|All|",L68)),18,0))</f>
        <v>0</v>
      </c>
      <c r="N68" s="0" t="n">
        <f aca="false">IF(OR($C$4="Any",I68="All"),12,IF(ISNUMBER(SEARCH($C$4,I68)),12,0))</f>
        <v>12</v>
      </c>
      <c r="O68" s="0" t="n">
        <f aca="false">IF(OR($C$5="Any",J68="Any",J68=$C$5),13,0)</f>
        <v>13</v>
      </c>
      <c r="P68" s="0" t="n">
        <f aca="false">IF(OR($C$6="Any",K68="Any",K68=$C$6),10,0)</f>
        <v>10</v>
      </c>
      <c r="Q68" s="0" t="n">
        <f aca="false">IF($C$8="",4,IF(AND(ISNUMBER(G68),ISNUMBER(H68)),IF(AND($C$8&gt;=G68,$C$8&lt;=H68),7,0),4))</f>
        <v>4</v>
      </c>
      <c r="R68" s="0" t="n">
        <f aca="false">M68+N68+O68+P68+Q68+V68+Y68</f>
        <v>52</v>
      </c>
      <c r="S68" s="0" t="n">
        <f aca="false">IF(OR(M68=0,W68=0),-A68,R68*100+D68+F68*0.5-A68*0.001)</f>
        <v>-34</v>
      </c>
      <c r="T68" s="0" t="str">
        <f aca="false">Treatments!M36</f>
        <v>Added  </v>
      </c>
      <c r="U68" s="0" t="s">
        <v>22</v>
      </c>
      <c r="V68" s="0" t="n">
        <f aca="false">IF(OR($C$11="Any",U68="Any",U68=$C$11),8,0)</f>
        <v>8</v>
      </c>
      <c r="W68" s="0" t="n">
        <f aca="false">IF(LEFT(Treatments!AD36,3)="Yes",1,0)</f>
        <v>1</v>
      </c>
      <c r="X68" s="0" t="str">
        <f aca="false">Treatments!AE36</f>
        <v>All crashes</v>
      </c>
      <c r="Y68" s="0" t="n">
        <f aca="false">IF($C$12="Any",5,IF($C$12=X68,5,IF(AND($C$12="Fatal &amp; injury only",X68="All crashes"),3,0)))</f>
        <v>5</v>
      </c>
      <c r="Z68" s="0" t="str">
        <f aca="false">Treatments!AE36&amp;" / "&amp;Treatments!AF36</f>
        <v>All crashes / Only: Vehicle/pedestrian</v>
      </c>
      <c r="AA68" s="0" t="str">
        <f aca="false">IF(OR(Treatments!AH36="Overstates",Treatments!AH36="Check"),UPPER(Treatments!AH36)&amp;": "&amp;Treatments!AI36&amp;". ","")&amp;IF(Treatments!AG36="","",Treatments!AG36)</f>
        <v>No AADT range in the study.</v>
      </c>
    </row>
    <row r="69" customFormat="false" ht="12.75" hidden="true" customHeight="false" outlineLevel="0" collapsed="false">
      <c r="A69" s="0" t="n">
        <v>35</v>
      </c>
      <c r="B69" s="0" t="str">
        <f aca="false">Treatments!A37</f>
        <v>Install Chevron Signs On Horizontal Curves</v>
      </c>
      <c r="C69" s="0" t="str">
        <f aca="false">Treatments!B37</f>
        <v>CM: Enhanced Delineation for Horizontal Curves</v>
      </c>
      <c r="D69" s="0" t="n">
        <f aca="false">Treatments!Q37</f>
        <v>25</v>
      </c>
      <c r="E69" s="0" t="n">
        <f aca="false">Treatments!P37</f>
        <v>0.75</v>
      </c>
      <c r="F69" s="0" t="n">
        <f aca="false">IF(ISNUMBER(Treatments!N37),Treatments!N37,0)</f>
        <v>5</v>
      </c>
      <c r="G69" s="0" t="n">
        <f aca="false">IF(ISNUMBER(Treatments!U37),Treatments!U37,"")</f>
        <v>261</v>
      </c>
      <c r="H69" s="0" t="n">
        <f aca="false">IF(ISNUMBER(Treatments!V37),Treatments!V37,"")</f>
        <v>14790</v>
      </c>
      <c r="I69" s="0" t="s">
        <v>73</v>
      </c>
      <c r="J69" s="0" t="s">
        <v>68</v>
      </c>
      <c r="K69" s="0" t="s">
        <v>22</v>
      </c>
      <c r="L69" s="0" t="s">
        <v>88</v>
      </c>
      <c r="M69" s="0" t="n">
        <f aca="false">IF(ISNUMBER(SEARCH("|"&amp;$C$7&amp;"|",L69)),45,IF(ISNUMBER(SEARCH("|All|",L69)),18,0))</f>
        <v>45</v>
      </c>
      <c r="N69" s="0" t="n">
        <f aca="false">IF(OR($C$4="Any",I69="All"),12,IF(ISNUMBER(SEARCH($C$4,I69)),12,0))</f>
        <v>12</v>
      </c>
      <c r="O69" s="0" t="n">
        <f aca="false">IF(OR($C$5="Any",J69="Any",J69=$C$5),13,0)</f>
        <v>13</v>
      </c>
      <c r="P69" s="0" t="n">
        <f aca="false">IF(OR($C$6="Any",K69="Any",K69=$C$6),10,0)</f>
        <v>10</v>
      </c>
      <c r="Q69" s="0" t="n">
        <f aca="false">IF($C$8="",4,IF(AND(ISNUMBER(G69),ISNUMBER(H69)),IF(AND($C$8&gt;=G69,$C$8&lt;=H69),7,0),4))</f>
        <v>4</v>
      </c>
      <c r="R69" s="0" t="n">
        <f aca="false">M69+N69+O69+P69+Q69+V69+Y69</f>
        <v>97</v>
      </c>
      <c r="S69" s="0" t="n">
        <f aca="false">IF(OR(M69=0,W69=0),-A69,R69*100+D69+F69*0.5-A69*0.001)</f>
        <v>9727.465</v>
      </c>
      <c r="T69" s="0" t="str">
        <f aca="false">Treatments!M37</f>
        <v>Original </v>
      </c>
      <c r="U69" s="0" t="s">
        <v>22</v>
      </c>
      <c r="V69" s="0" t="n">
        <f aca="false">IF(OR($C$11="Any",U69="Any",U69=$C$11),8,0)</f>
        <v>8</v>
      </c>
      <c r="W69" s="0" t="n">
        <f aca="false">IF(LEFT(Treatments!AD37,3)="Yes",1,0)</f>
        <v>1</v>
      </c>
      <c r="X69" s="0" t="str">
        <f aca="false">Treatments!AE37</f>
        <v>All crashes</v>
      </c>
      <c r="Y69" s="0" t="n">
        <f aca="false">IF($C$12="Any",5,IF($C$12=X69,5,IF(AND($C$12="Fatal &amp; injury only",X69="All crashes"),3,0)))</f>
        <v>5</v>
      </c>
      <c r="Z69" s="0" t="str">
        <f aca="false">Treatments!AE37&amp;" / "&amp;Treatments!AF37</f>
        <v>All crashes / Only: Nighttime,Non-intersection</v>
      </c>
      <c r="AA69" s="0" t="str">
        <f aca="false">IF(OR(Treatments!AH37="Overstates",Treatments!AH37="Check"),UPPER(Treatments!AH37)&amp;": "&amp;Treatments!AI37&amp;". ","")&amp;IF(Treatments!AG37="","",Treatments!AG37)</f>
        <v>OVERSTATES: Night crashes only. AADT tested: 261-14,790.</v>
      </c>
    </row>
    <row r="70" customFormat="false" ht="12.75" hidden="true" customHeight="false" outlineLevel="0" collapsed="false">
      <c r="A70" s="0" t="n">
        <v>36</v>
      </c>
      <c r="B70" s="0" t="str">
        <f aca="false">Treatments!A38</f>
        <v>Install Oversized Chevron Signs</v>
      </c>
      <c r="C70" s="0" t="str">
        <f aca="false">Treatments!B38</f>
        <v>CM: Enhanced Delineation for Horizontal Curves</v>
      </c>
      <c r="D70" s="0" t="n">
        <f aca="false">Treatments!Q38</f>
        <v>14.8</v>
      </c>
      <c r="E70" s="0" t="n">
        <f aca="false">Treatments!P38</f>
        <v>0.852</v>
      </c>
      <c r="F70" s="0" t="n">
        <f aca="false">IF(ISNUMBER(Treatments!N38),Treatments!N38,0)</f>
        <v>3</v>
      </c>
      <c r="G70" s="0" t="n">
        <f aca="false">IF(ISNUMBER(Treatments!U38),Treatments!U38,"")</f>
        <v>173</v>
      </c>
      <c r="H70" s="0" t="n">
        <f aca="false">IF(ISNUMBER(Treatments!V38),Treatments!V38,"")</f>
        <v>27235</v>
      </c>
      <c r="I70" s="0" t="s">
        <v>72</v>
      </c>
      <c r="J70" s="0" t="s">
        <v>68</v>
      </c>
      <c r="K70" s="0" t="s">
        <v>22</v>
      </c>
      <c r="L70" s="0" t="s">
        <v>89</v>
      </c>
      <c r="M70" s="0" t="n">
        <f aca="false">IF(ISNUMBER(SEARCH("|"&amp;$C$7&amp;"|",L70)),45,IF(ISNUMBER(SEARCH("|All|",L70)),18,0))</f>
        <v>45</v>
      </c>
      <c r="N70" s="0" t="n">
        <f aca="false">IF(OR($C$4="Any",I70="All"),12,IF(ISNUMBER(SEARCH($C$4,I70)),12,0))</f>
        <v>12</v>
      </c>
      <c r="O70" s="0" t="n">
        <f aca="false">IF(OR($C$5="Any",J70="Any",J70=$C$5),13,0)</f>
        <v>13</v>
      </c>
      <c r="P70" s="0" t="n">
        <f aca="false">IF(OR($C$6="Any",K70="Any",K70=$C$6),10,0)</f>
        <v>10</v>
      </c>
      <c r="Q70" s="0" t="n">
        <f aca="false">IF($C$8="",4,IF(AND(ISNUMBER(G70),ISNUMBER(H70)),IF(AND($C$8&gt;=G70,$C$8&lt;=H70),7,0),4))</f>
        <v>4</v>
      </c>
      <c r="R70" s="0" t="n">
        <f aca="false">M70+N70+O70+P70+Q70+V70+Y70</f>
        <v>97</v>
      </c>
      <c r="S70" s="0" t="n">
        <f aca="false">IF(OR(M70=0,W70=0),-A70,R70*100+D70+F70*0.5-A70*0.001)</f>
        <v>-36</v>
      </c>
      <c r="T70" s="0" t="str">
        <f aca="false">Treatments!M38</f>
        <v>Original </v>
      </c>
      <c r="U70" s="0" t="s">
        <v>22</v>
      </c>
      <c r="V70" s="0" t="n">
        <f aca="false">IF(OR($C$11="Any",U70="Any",U70=$C$11),8,0)</f>
        <v>8</v>
      </c>
      <c r="W70" s="0" t="n">
        <f aca="false">IF(LEFT(Treatments!AD38,3)="Yes",1,0)</f>
        <v>0</v>
      </c>
      <c r="X70" s="0" t="str">
        <f aca="false">Treatments!AE38</f>
        <v>Fatal &amp; injury only</v>
      </c>
      <c r="Y70" s="0" t="n">
        <f aca="false">IF($C$12="Any",5,IF($C$12=X70,5,IF(AND($C$12="Fatal &amp; injury only",X70="All crashes"),3,0)))</f>
        <v>5</v>
      </c>
      <c r="Z70" s="0" t="str">
        <f aca="false">Treatments!AE38&amp;" / "&amp;Treatments!AF38</f>
        <v>Fatal &amp; injury only / All crash types</v>
      </c>
      <c r="AA70" s="0" t="str">
        <f aca="false">IF(OR(Treatments!AH38="Overstates",Treatments!AH38="Check"),UPPER(Treatments!AH38)&amp;": "&amp;Treatments!AI38&amp;". ","")&amp;IF(Treatments!AG38="","",Treatments!AG38)</f>
        <v>AADT tested: 173-27,235.</v>
      </c>
    </row>
    <row r="71" customFormat="false" ht="12.75" hidden="true" customHeight="false" outlineLevel="0" collapsed="false">
      <c r="A71" s="0" t="n">
        <v>37</v>
      </c>
      <c r="B71" s="0" t="str">
        <f aca="false">Treatments!A39</f>
        <v>Install In-Lane Curve Warning Pavement Markings</v>
      </c>
      <c r="C71" s="0" t="str">
        <f aca="false">Treatments!B39</f>
        <v>CM: Enhanced Delineation for Horizontal Curves</v>
      </c>
      <c r="D71" s="0" t="n">
        <f aca="false">Treatments!Q39</f>
        <v>34.8</v>
      </c>
      <c r="E71" s="0" t="n">
        <f aca="false">Treatments!P39</f>
        <v>0.652</v>
      </c>
      <c r="F71" s="0" t="n">
        <f aca="false">IF(ISNUMBER(Treatments!N39),Treatments!N39,0)</f>
        <v>5</v>
      </c>
      <c r="G71" s="0" t="n">
        <f aca="false">IF(ISNUMBER(Treatments!U39),Treatments!U39,"")</f>
        <v>100</v>
      </c>
      <c r="H71" s="0" t="n">
        <f aca="false">IF(ISNUMBER(Treatments!V39),Treatments!V39,"")</f>
        <v>15998</v>
      </c>
      <c r="I71" s="0" t="s">
        <v>73</v>
      </c>
      <c r="J71" s="0" t="s">
        <v>68</v>
      </c>
      <c r="K71" s="0" t="s">
        <v>22</v>
      </c>
      <c r="L71" s="0" t="s">
        <v>89</v>
      </c>
      <c r="M71" s="0" t="n">
        <f aca="false">IF(ISNUMBER(SEARCH("|"&amp;$C$7&amp;"|",L71)),45,IF(ISNUMBER(SEARCH("|All|",L71)),18,0))</f>
        <v>45</v>
      </c>
      <c r="N71" s="0" t="n">
        <f aca="false">IF(OR($C$4="Any",I71="All"),12,IF(ISNUMBER(SEARCH($C$4,I71)),12,0))</f>
        <v>12</v>
      </c>
      <c r="O71" s="0" t="n">
        <f aca="false">IF(OR($C$5="Any",J71="Any",J71=$C$5),13,0)</f>
        <v>13</v>
      </c>
      <c r="P71" s="0" t="n">
        <f aca="false">IF(OR($C$6="Any",K71="Any",K71=$C$6),10,0)</f>
        <v>10</v>
      </c>
      <c r="Q71" s="0" t="n">
        <f aca="false">IF($C$8="",4,IF(AND(ISNUMBER(G71),ISNUMBER(H71)),IF(AND($C$8&gt;=G71,$C$8&lt;=H71),7,0),4))</f>
        <v>4</v>
      </c>
      <c r="R71" s="0" t="n">
        <f aca="false">M71+N71+O71+P71+Q71+V71+Y71</f>
        <v>97</v>
      </c>
      <c r="S71" s="0" t="n">
        <f aca="false">IF(OR(M71=0,W71=0),-A71,R71*100+D71+F71*0.5-A71*0.001)</f>
        <v>9737.263</v>
      </c>
      <c r="T71" s="0" t="str">
        <f aca="false">Treatments!M39</f>
        <v>Original </v>
      </c>
      <c r="U71" s="0" t="s">
        <v>22</v>
      </c>
      <c r="V71" s="0" t="n">
        <f aca="false">IF(OR($C$11="Any",U71="Any",U71=$C$11),8,0)</f>
        <v>8</v>
      </c>
      <c r="W71" s="0" t="n">
        <f aca="false">IF(LEFT(Treatments!AD39,3)="Yes",1,0)</f>
        <v>1</v>
      </c>
      <c r="X71" s="0" t="str">
        <f aca="false">Treatments!AE39</f>
        <v>All crashes</v>
      </c>
      <c r="Y71" s="0" t="n">
        <f aca="false">IF($C$12="Any",5,IF($C$12=X71,5,IF(AND($C$12="Fatal &amp; injury only",X71="All crashes"),3,0)))</f>
        <v>5</v>
      </c>
      <c r="Z71" s="0" t="str">
        <f aca="false">Treatments!AE39&amp;" / "&amp;Treatments!AF39</f>
        <v>All crashes / All crash types</v>
      </c>
      <c r="AA71" s="0" t="str">
        <f aca="false">IF(OR(Treatments!AH39="Overstates",Treatments!AH39="Check"),UPPER(Treatments!AH39)&amp;": "&amp;Treatments!AI39&amp;". ","")&amp;IF(Treatments!AG39="","",Treatments!AG39)</f>
        <v>AADT tested: 100-15,998.</v>
      </c>
    </row>
    <row r="72" customFormat="false" ht="12.75" hidden="true" customHeight="false" outlineLevel="0" collapsed="false">
      <c r="A72" s="0" t="n">
        <v>38</v>
      </c>
      <c r="B72" s="0" t="str">
        <f aca="false">Treatments!A40</f>
        <v>Install Oversized Chevron Signs</v>
      </c>
      <c r="C72" s="0" t="str">
        <f aca="false">Treatments!B40</f>
        <v>CM: Enhanced Delineation for Horizontal Curves</v>
      </c>
      <c r="D72" s="0" t="n">
        <f aca="false">Treatments!Q40</f>
        <v>44</v>
      </c>
      <c r="E72" s="0" t="n">
        <f aca="false">Treatments!P40</f>
        <v>0.56</v>
      </c>
      <c r="F72" s="0" t="n">
        <f aca="false">IF(ISNUMBER(Treatments!N40),Treatments!N40,0)</f>
        <v>4</v>
      </c>
      <c r="G72" s="0" t="n">
        <f aca="false">IF(ISNUMBER(Treatments!U40),Treatments!U40,"")</f>
        <v>173</v>
      </c>
      <c r="H72" s="0" t="n">
        <f aca="false">IF(ISNUMBER(Treatments!V40),Treatments!V40,"")</f>
        <v>27235</v>
      </c>
      <c r="I72" s="0" t="s">
        <v>72</v>
      </c>
      <c r="J72" s="0" t="s">
        <v>68</v>
      </c>
      <c r="K72" s="0" t="s">
        <v>22</v>
      </c>
      <c r="L72" s="0" t="s">
        <v>88</v>
      </c>
      <c r="M72" s="0" t="n">
        <f aca="false">IF(ISNUMBER(SEARCH("|"&amp;$C$7&amp;"|",L72)),45,IF(ISNUMBER(SEARCH("|All|",L72)),18,0))</f>
        <v>45</v>
      </c>
      <c r="N72" s="0" t="n">
        <f aca="false">IF(OR($C$4="Any",I72="All"),12,IF(ISNUMBER(SEARCH($C$4,I72)),12,0))</f>
        <v>12</v>
      </c>
      <c r="O72" s="0" t="n">
        <f aca="false">IF(OR($C$5="Any",J72="Any",J72=$C$5),13,0)</f>
        <v>13</v>
      </c>
      <c r="P72" s="0" t="n">
        <f aca="false">IF(OR($C$6="Any",K72="Any",K72=$C$6),10,0)</f>
        <v>10</v>
      </c>
      <c r="Q72" s="0" t="n">
        <f aca="false">IF($C$8="",4,IF(AND(ISNUMBER(G72),ISNUMBER(H72)),IF(AND($C$8&gt;=G72,$C$8&lt;=H72),7,0),4))</f>
        <v>4</v>
      </c>
      <c r="R72" s="0" t="n">
        <f aca="false">M72+N72+O72+P72+Q72+V72+Y72</f>
        <v>97</v>
      </c>
      <c r="S72" s="0" t="n">
        <f aca="false">IF(OR(M72=0,W72=0),-A72,R72*100+D72+F72*0.5-A72*0.001)</f>
        <v>9745.962</v>
      </c>
      <c r="T72" s="0" t="str">
        <f aca="false">Treatments!M40</f>
        <v>Added  </v>
      </c>
      <c r="U72" s="0" t="s">
        <v>22</v>
      </c>
      <c r="V72" s="0" t="n">
        <f aca="false">IF(OR($C$11="Any",U72="Any",U72=$C$11),8,0)</f>
        <v>8</v>
      </c>
      <c r="W72" s="0" t="n">
        <f aca="false">IF(LEFT(Treatments!AD40,3)="Yes",1,0)</f>
        <v>1</v>
      </c>
      <c r="X72" s="0" t="str">
        <f aca="false">Treatments!AE40</f>
        <v>All crashes</v>
      </c>
      <c r="Y72" s="0" t="n">
        <f aca="false">IF($C$12="Any",5,IF($C$12=X72,5,IF(AND($C$12="Fatal &amp; injury only",X72="All crashes"),3,0)))</f>
        <v>5</v>
      </c>
      <c r="Z72" s="0" t="str">
        <f aca="false">Treatments!AE40&amp;" / "&amp;Treatments!AF40</f>
        <v>All crashes / Only: Nighttime</v>
      </c>
      <c r="AA72" s="0" t="str">
        <f aca="false">IF(OR(Treatments!AH40="Overstates",Treatments!AH40="Check"),UPPER(Treatments!AH40)&amp;": "&amp;Treatments!AI40&amp;". ","")&amp;IF(Treatments!AG40="","",Treatments!AG40)</f>
        <v>OVERSTATES: Night crashes only. AADT tested: 173-27,235.</v>
      </c>
    </row>
    <row r="73" customFormat="false" ht="12.75" hidden="true" customHeight="false" outlineLevel="0" collapsed="false">
      <c r="A73" s="0" t="n">
        <v>39</v>
      </c>
      <c r="B73" s="0" t="str">
        <f aca="false">Treatments!A41</f>
        <v>Install In-Lane Curve Warning Pavement Markings</v>
      </c>
      <c r="C73" s="0" t="str">
        <f aca="false">Treatments!B41</f>
        <v>CM: Enhanced Delineation for Horizontal Curves</v>
      </c>
      <c r="D73" s="0" t="n">
        <f aca="false">Treatments!Q41</f>
        <v>38.4</v>
      </c>
      <c r="E73" s="0" t="n">
        <f aca="false">Treatments!P41</f>
        <v>0.616</v>
      </c>
      <c r="F73" s="0" t="n">
        <f aca="false">IF(ISNUMBER(Treatments!N41),Treatments!N41,0)</f>
        <v>4</v>
      </c>
      <c r="G73" s="0" t="n">
        <f aca="false">IF(ISNUMBER(Treatments!U41),Treatments!U41,"")</f>
        <v>590</v>
      </c>
      <c r="H73" s="0" t="n">
        <f aca="false">IF(ISNUMBER(Treatments!V41),Treatments!V41,"")</f>
        <v>7600</v>
      </c>
      <c r="I73" s="0" t="s">
        <v>72</v>
      </c>
      <c r="J73" s="0" t="s">
        <v>68</v>
      </c>
      <c r="K73" s="0" t="s">
        <v>22</v>
      </c>
      <c r="L73" s="0" t="s">
        <v>89</v>
      </c>
      <c r="M73" s="0" t="n">
        <f aca="false">IF(ISNUMBER(SEARCH("|"&amp;$C$7&amp;"|",L73)),45,IF(ISNUMBER(SEARCH("|All|",L73)),18,0))</f>
        <v>45</v>
      </c>
      <c r="N73" s="0" t="n">
        <f aca="false">IF(OR($C$4="Any",I73="All"),12,IF(ISNUMBER(SEARCH($C$4,I73)),12,0))</f>
        <v>12</v>
      </c>
      <c r="O73" s="0" t="n">
        <f aca="false">IF(OR($C$5="Any",J73="Any",J73=$C$5),13,0)</f>
        <v>13</v>
      </c>
      <c r="P73" s="0" t="n">
        <f aca="false">IF(OR($C$6="Any",K73="Any",K73=$C$6),10,0)</f>
        <v>10</v>
      </c>
      <c r="Q73" s="0" t="n">
        <f aca="false">IF($C$8="",4,IF(AND(ISNUMBER(G73),ISNUMBER(H73)),IF(AND($C$8&gt;=G73,$C$8&lt;=H73),7,0),4))</f>
        <v>4</v>
      </c>
      <c r="R73" s="0" t="n">
        <f aca="false">M73+N73+O73+P73+Q73+V73+Y73</f>
        <v>97</v>
      </c>
      <c r="S73" s="0" t="n">
        <f aca="false">IF(OR(M73=0,W73=0),-A73,R73*100+D73+F73*0.5-A73*0.001)</f>
        <v>9740.361</v>
      </c>
      <c r="T73" s="0" t="str">
        <f aca="false">Treatments!M41</f>
        <v>Added  </v>
      </c>
      <c r="U73" s="0" t="s">
        <v>22</v>
      </c>
      <c r="V73" s="0" t="n">
        <f aca="false">IF(OR($C$11="Any",U73="Any",U73=$C$11),8,0)</f>
        <v>8</v>
      </c>
      <c r="W73" s="0" t="n">
        <f aca="false">IF(LEFT(Treatments!AD41,3)="Yes",1,0)</f>
        <v>1</v>
      </c>
      <c r="X73" s="0" t="str">
        <f aca="false">Treatments!AE41</f>
        <v>All crashes</v>
      </c>
      <c r="Y73" s="0" t="n">
        <f aca="false">IF($C$12="Any",5,IF($C$12=X73,5,IF(AND($C$12="Fatal &amp; injury only",X73="All crashes"),3,0)))</f>
        <v>5</v>
      </c>
      <c r="Z73" s="0" t="str">
        <f aca="false">Treatments!AE41&amp;" / "&amp;Treatments!AF41</f>
        <v>All crashes / All crash types</v>
      </c>
      <c r="AA73" s="0" t="str">
        <f aca="false">IF(OR(Treatments!AH41="Overstates",Treatments!AH41="Check"),UPPER(Treatments!AH41)&amp;": "&amp;Treatments!AI41&amp;". ","")&amp;IF(Treatments!AG41="","",Treatments!AG41)</f>
        <v>AADT tested: 590-7,600.</v>
      </c>
    </row>
    <row r="74" customFormat="false" ht="12.75" hidden="true" customHeight="false" outlineLevel="0" collapsed="false">
      <c r="A74" s="0" t="n">
        <v>40</v>
      </c>
      <c r="B74" s="0" t="str">
        <f aca="false">Treatments!A42</f>
        <v>Install New Fluorescent Curve Signs Or Upgrade Existing Curve Signs To Fluorescent Sheeting</v>
      </c>
      <c r="C74" s="0" t="str">
        <f aca="false">Treatments!B42</f>
        <v>CM: Enhanced Delineation for Horizontal Curves</v>
      </c>
      <c r="D74" s="0" t="n">
        <f aca="false">Treatments!Q42</f>
        <v>35</v>
      </c>
      <c r="E74" s="0" t="n">
        <f aca="false">Treatments!P42</f>
        <v>0.65</v>
      </c>
      <c r="F74" s="0" t="n">
        <f aca="false">IF(ISNUMBER(Treatments!N42),Treatments!N42,0)</f>
        <v>5</v>
      </c>
      <c r="G74" s="0" t="n">
        <f aca="false">IF(ISNUMBER(Treatments!U42),Treatments!U42,"")</f>
        <v>895</v>
      </c>
      <c r="H74" s="0" t="n">
        <f aca="false">IF(ISNUMBER(Treatments!V42),Treatments!V42,"")</f>
        <v>20479</v>
      </c>
      <c r="I74" s="0" t="s">
        <v>73</v>
      </c>
      <c r="J74" s="0" t="s">
        <v>68</v>
      </c>
      <c r="K74" s="0" t="s">
        <v>22</v>
      </c>
      <c r="L74" s="0" t="s">
        <v>88</v>
      </c>
      <c r="M74" s="0" t="n">
        <f aca="false">IF(ISNUMBER(SEARCH("|"&amp;$C$7&amp;"|",L74)),45,IF(ISNUMBER(SEARCH("|All|",L74)),18,0))</f>
        <v>45</v>
      </c>
      <c r="N74" s="0" t="n">
        <f aca="false">IF(OR($C$4="Any",I74="All"),12,IF(ISNUMBER(SEARCH($C$4,I74)),12,0))</f>
        <v>12</v>
      </c>
      <c r="O74" s="0" t="n">
        <f aca="false">IF(OR($C$5="Any",J74="Any",J74=$C$5),13,0)</f>
        <v>13</v>
      </c>
      <c r="P74" s="0" t="n">
        <f aca="false">IF(OR($C$6="Any",K74="Any",K74=$C$6),10,0)</f>
        <v>10</v>
      </c>
      <c r="Q74" s="0" t="n">
        <f aca="false">IF($C$8="",4,IF(AND(ISNUMBER(G74),ISNUMBER(H74)),IF(AND($C$8&gt;=G74,$C$8&lt;=H74),7,0),4))</f>
        <v>4</v>
      </c>
      <c r="R74" s="0" t="n">
        <f aca="false">M74+N74+O74+P74+Q74+V74+Y74</f>
        <v>97</v>
      </c>
      <c r="S74" s="0" t="n">
        <f aca="false">IF(OR(M74=0,W74=0),-A74,R74*100+D74+F74*0.5-A74*0.001)</f>
        <v>9737.46</v>
      </c>
      <c r="T74" s="0" t="str">
        <f aca="false">Treatments!M42</f>
        <v>Added  </v>
      </c>
      <c r="U74" s="0" t="s">
        <v>22</v>
      </c>
      <c r="V74" s="0" t="n">
        <f aca="false">IF(OR($C$11="Any",U74="Any",U74=$C$11),8,0)</f>
        <v>8</v>
      </c>
      <c r="W74" s="0" t="n">
        <f aca="false">IF(LEFT(Treatments!AD42,3)="Yes",1,0)</f>
        <v>1</v>
      </c>
      <c r="X74" s="0" t="str">
        <f aca="false">Treatments!AE42</f>
        <v>All crashes</v>
      </c>
      <c r="Y74" s="0" t="n">
        <f aca="false">IF($C$12="Any",5,IF($C$12=X74,5,IF(AND($C$12="Fatal &amp; injury only",X74="All crashes"),3,0)))</f>
        <v>5</v>
      </c>
      <c r="Z74" s="0" t="str">
        <f aca="false">Treatments!AE42&amp;" / "&amp;Treatments!AF42</f>
        <v>All crashes / Only: Nighttime,Non-intersection</v>
      </c>
      <c r="AA74" s="0" t="str">
        <f aca="false">IF(OR(Treatments!AH42="Overstates",Treatments!AH42="Check"),UPPER(Treatments!AH42)&amp;": "&amp;Treatments!AI42&amp;". ","")&amp;IF(Treatments!AG42="","",Treatments!AG42)</f>
        <v>OVERSTATES: Night crashes only. AADT tested: 895-20,479.</v>
      </c>
    </row>
    <row r="75" customFormat="false" ht="12.75" hidden="true" customHeight="false" outlineLevel="0" collapsed="false">
      <c r="A75" s="0" t="n">
        <v>41</v>
      </c>
      <c r="B75" s="0" t="str">
        <f aca="false">Treatments!A43</f>
        <v>Install Chevron Signs On Horizontal Curves</v>
      </c>
      <c r="C75" s="0" t="str">
        <f aca="false">Treatments!B43</f>
        <v>CM: Enhanced Delineation for Horizontal Curves</v>
      </c>
      <c r="D75" s="0" t="n">
        <f aca="false">Treatments!Q43</f>
        <v>22</v>
      </c>
      <c r="E75" s="0" t="n">
        <f aca="false">Treatments!P43</f>
        <v>0.78</v>
      </c>
      <c r="F75" s="0" t="n">
        <f aca="false">IF(ISNUMBER(Treatments!N43),Treatments!N43,0)</f>
        <v>5</v>
      </c>
      <c r="G75" s="0" t="n">
        <f aca="false">IF(ISNUMBER(Treatments!U43),Treatments!U43,"")</f>
        <v>261</v>
      </c>
      <c r="H75" s="0" t="n">
        <f aca="false">IF(ISNUMBER(Treatments!V43),Treatments!V43,"")</f>
        <v>14790</v>
      </c>
      <c r="I75" s="0" t="s">
        <v>73</v>
      </c>
      <c r="J75" s="0" t="s">
        <v>68</v>
      </c>
      <c r="K75" s="0" t="s">
        <v>22</v>
      </c>
      <c r="L75" s="0" t="s">
        <v>90</v>
      </c>
      <c r="M75" s="0" t="n">
        <f aca="false">IF(ISNUMBER(SEARCH("|"&amp;$C$7&amp;"|",L75)),45,IF(ISNUMBER(SEARCH("|All|",L75)),18,0))</f>
        <v>45</v>
      </c>
      <c r="N75" s="0" t="n">
        <f aca="false">IF(OR($C$4="Any",I75="All"),12,IF(ISNUMBER(SEARCH($C$4,I75)),12,0))</f>
        <v>12</v>
      </c>
      <c r="O75" s="0" t="n">
        <f aca="false">IF(OR($C$5="Any",J75="Any",J75=$C$5),13,0)</f>
        <v>13</v>
      </c>
      <c r="P75" s="0" t="n">
        <f aca="false">IF(OR($C$6="Any",K75="Any",K75=$C$6),10,0)</f>
        <v>10</v>
      </c>
      <c r="Q75" s="0" t="n">
        <f aca="false">IF($C$8="",4,IF(AND(ISNUMBER(G75),ISNUMBER(H75)),IF(AND($C$8&gt;=G75,$C$8&lt;=H75),7,0),4))</f>
        <v>4</v>
      </c>
      <c r="R75" s="0" t="n">
        <f aca="false">M75+N75+O75+P75+Q75+V75+Y75</f>
        <v>97</v>
      </c>
      <c r="S75" s="0" t="n">
        <f aca="false">IF(OR(M75=0,W75=0),-A75,R75*100+D75+F75*0.5-A75*0.001)</f>
        <v>9724.459</v>
      </c>
      <c r="T75" s="0" t="str">
        <f aca="false">Treatments!M43</f>
        <v>Added  </v>
      </c>
      <c r="U75" s="0" t="s">
        <v>22</v>
      </c>
      <c r="V75" s="0" t="n">
        <f aca="false">IF(OR($C$11="Any",U75="Any",U75=$C$11),8,0)</f>
        <v>8</v>
      </c>
      <c r="W75" s="0" t="n">
        <f aca="false">IF(LEFT(Treatments!AD43,3)="Yes",1,0)</f>
        <v>1</v>
      </c>
      <c r="X75" s="0" t="str">
        <f aca="false">Treatments!AE43</f>
        <v>All crashes</v>
      </c>
      <c r="Y75" s="0" t="n">
        <f aca="false">IF($C$12="Any",5,IF($C$12=X75,5,IF(AND($C$12="Fatal &amp; injury only",X75="All crashes"),3,0)))</f>
        <v>5</v>
      </c>
      <c r="Z75" s="0" t="str">
        <f aca="false">Treatments!AE43&amp;" / "&amp;Treatments!AF43</f>
        <v>All crashes / Only: Head on,Nighttime,Non-intersection,Run off road,Sideswipe</v>
      </c>
      <c r="AA75" s="0" t="str">
        <f aca="false">IF(OR(Treatments!AH43="Overstates",Treatments!AH43="Check"),UPPER(Treatments!AH43)&amp;": "&amp;Treatments!AI43&amp;". ","")&amp;IF(Treatments!AG43="","",Treatments!AG43)</f>
        <v>OVERSTATES: Night crashes only. AADT tested: 261-14,790.</v>
      </c>
    </row>
    <row r="76" customFormat="false" ht="12.75" hidden="true" customHeight="false" outlineLevel="0" collapsed="false">
      <c r="A76" s="0" t="n">
        <v>42</v>
      </c>
      <c r="B76" s="0" t="str">
        <f aca="false">Treatments!A44</f>
        <v>Install A Combination Of Chevron Signs, Curve Warning Signs, And/Or Sequential Flashing Beacons</v>
      </c>
      <c r="C76" s="0" t="str">
        <f aca="false">Treatments!B44</f>
        <v>CM: Enhanced Delineation for Horizontal Curves</v>
      </c>
      <c r="D76" s="0" t="n">
        <f aca="false">Treatments!Q44</f>
        <v>79</v>
      </c>
      <c r="E76" s="0" t="n">
        <f aca="false">Treatments!P44</f>
        <v>0.21</v>
      </c>
      <c r="F76" s="0" t="n">
        <f aca="false">IF(ISNUMBER(Treatments!N44),Treatments!N44,0)</f>
        <v>4</v>
      </c>
      <c r="G76" s="0" t="n">
        <f aca="false">IF(ISNUMBER(Treatments!U44),Treatments!U44,"")</f>
        <v>7400</v>
      </c>
      <c r="H76" s="0" t="n">
        <f aca="false">IF(ISNUMBER(Treatments!V44),Treatments!V44,"")</f>
        <v>13975</v>
      </c>
      <c r="I76" s="0" t="s">
        <v>72</v>
      </c>
      <c r="J76" s="0" t="s">
        <v>68</v>
      </c>
      <c r="K76" s="0" t="s">
        <v>22</v>
      </c>
      <c r="L76" s="0" t="s">
        <v>88</v>
      </c>
      <c r="M76" s="0" t="n">
        <f aca="false">IF(ISNUMBER(SEARCH("|"&amp;$C$7&amp;"|",L76)),45,IF(ISNUMBER(SEARCH("|All|",L76)),18,0))</f>
        <v>45</v>
      </c>
      <c r="N76" s="0" t="n">
        <f aca="false">IF(OR($C$4="Any",I76="All"),12,IF(ISNUMBER(SEARCH($C$4,I76)),12,0))</f>
        <v>12</v>
      </c>
      <c r="O76" s="0" t="n">
        <f aca="false">IF(OR($C$5="Any",J76="Any",J76=$C$5),13,0)</f>
        <v>13</v>
      </c>
      <c r="P76" s="0" t="n">
        <f aca="false">IF(OR($C$6="Any",K76="Any",K76=$C$6),10,0)</f>
        <v>10</v>
      </c>
      <c r="Q76" s="0" t="n">
        <f aca="false">IF($C$8="",4,IF(AND(ISNUMBER(G76),ISNUMBER(H76)),IF(AND($C$8&gt;=G76,$C$8&lt;=H76),7,0),4))</f>
        <v>4</v>
      </c>
      <c r="R76" s="0" t="n">
        <f aca="false">M76+N76+O76+P76+Q76+V76+Y76</f>
        <v>97</v>
      </c>
      <c r="S76" s="0" t="n">
        <f aca="false">IF(OR(M76=0,W76=0),-A76,R76*100+D76+F76*0.5-A76*0.001)</f>
        <v>9780.958</v>
      </c>
      <c r="T76" s="0" t="str">
        <f aca="false">Treatments!M44</f>
        <v>Added  </v>
      </c>
      <c r="U76" s="0" t="s">
        <v>70</v>
      </c>
      <c r="V76" s="0" t="n">
        <f aca="false">IF(OR($C$11="Any",U76="Any",U76=$C$11),8,0)</f>
        <v>8</v>
      </c>
      <c r="W76" s="0" t="n">
        <f aca="false">IF(LEFT(Treatments!AD44,3)="Yes",1,0)</f>
        <v>1</v>
      </c>
      <c r="X76" s="0" t="str">
        <f aca="false">Treatments!AE44</f>
        <v>All crashes</v>
      </c>
      <c r="Y76" s="0" t="n">
        <f aca="false">IF($C$12="Any",5,IF($C$12=X76,5,IF(AND($C$12="Fatal &amp; injury only",X76="All crashes"),3,0)))</f>
        <v>5</v>
      </c>
      <c r="Z76" s="0" t="str">
        <f aca="false">Treatments!AE44&amp;" / "&amp;Treatments!AF44</f>
        <v>All crashes / Only: Nighttime</v>
      </c>
      <c r="AA76" s="0" t="str">
        <f aca="false">IF(OR(Treatments!AH44="Overstates",Treatments!AH44="Check"),UPPER(Treatments!AH44)&amp;": "&amp;Treatments!AI44&amp;". ","")&amp;IF(Treatments!AG44="","",Treatments!AG44)</f>
        <v>OVERSTATES: Night crashes only. Study roads: Principal Arterial Other Freeways and Expressways. Not for collectors or locals (team). Study AADT is below the SC average for this class (~17,000). AADT tested: 7,400-13,975.</v>
      </c>
    </row>
    <row r="77" customFormat="false" ht="12.75" hidden="true" customHeight="false" outlineLevel="0" collapsed="false">
      <c r="A77" s="0" t="n">
        <v>43</v>
      </c>
      <c r="B77" s="0" t="str">
        <f aca="false">Treatments!A45</f>
        <v>Install Chevron Signs, Curve Warning Signs, And Sequential Flashing Beacons</v>
      </c>
      <c r="C77" s="0" t="str">
        <f aca="false">Treatments!B45</f>
        <v>CM: Enhanced Delineation for Horizontal Curves</v>
      </c>
      <c r="D77" s="0" t="n">
        <f aca="false">Treatments!Q45</f>
        <v>76.9</v>
      </c>
      <c r="E77" s="0" t="n">
        <f aca="false">Treatments!P45</f>
        <v>0.231</v>
      </c>
      <c r="F77" s="0" t="n">
        <f aca="false">IF(ISNUMBER(Treatments!N45),Treatments!N45,0)</f>
        <v>4</v>
      </c>
      <c r="G77" s="0" t="n">
        <f aca="false">IF(ISNUMBER(Treatments!U45),Treatments!U45,"")</f>
        <v>7400</v>
      </c>
      <c r="H77" s="0" t="n">
        <f aca="false">IF(ISNUMBER(Treatments!V45),Treatments!V45,"")</f>
        <v>13975</v>
      </c>
      <c r="I77" s="0" t="s">
        <v>72</v>
      </c>
      <c r="J77" s="0" t="s">
        <v>68</v>
      </c>
      <c r="K77" s="0" t="s">
        <v>22</v>
      </c>
      <c r="L77" s="0" t="s">
        <v>88</v>
      </c>
      <c r="M77" s="0" t="n">
        <f aca="false">IF(ISNUMBER(SEARCH("|"&amp;$C$7&amp;"|",L77)),45,IF(ISNUMBER(SEARCH("|All|",L77)),18,0))</f>
        <v>45</v>
      </c>
      <c r="N77" s="0" t="n">
        <f aca="false">IF(OR($C$4="Any",I77="All"),12,IF(ISNUMBER(SEARCH($C$4,I77)),12,0))</f>
        <v>12</v>
      </c>
      <c r="O77" s="0" t="n">
        <f aca="false">IF(OR($C$5="Any",J77="Any",J77=$C$5),13,0)</f>
        <v>13</v>
      </c>
      <c r="P77" s="0" t="n">
        <f aca="false">IF(OR($C$6="Any",K77="Any",K77=$C$6),10,0)</f>
        <v>10</v>
      </c>
      <c r="Q77" s="0" t="n">
        <f aca="false">IF($C$8="",4,IF(AND(ISNUMBER(G77),ISNUMBER(H77)),IF(AND($C$8&gt;=G77,$C$8&lt;=H77),7,0),4))</f>
        <v>4</v>
      </c>
      <c r="R77" s="0" t="n">
        <f aca="false">M77+N77+O77+P77+Q77+V77+Y77</f>
        <v>97</v>
      </c>
      <c r="S77" s="0" t="n">
        <f aca="false">IF(OR(M77=0,W77=0),-A77,R77*100+D77+F77*0.5-A77*0.001)</f>
        <v>9778.857</v>
      </c>
      <c r="T77" s="0" t="str">
        <f aca="false">Treatments!M45</f>
        <v>Added  </v>
      </c>
      <c r="U77" s="0" t="s">
        <v>70</v>
      </c>
      <c r="V77" s="0" t="n">
        <f aca="false">IF(OR($C$11="Any",U77="Any",U77=$C$11),8,0)</f>
        <v>8</v>
      </c>
      <c r="W77" s="0" t="n">
        <f aca="false">IF(LEFT(Treatments!AD45,3)="Yes",1,0)</f>
        <v>1</v>
      </c>
      <c r="X77" s="0" t="str">
        <f aca="false">Treatments!AE45</f>
        <v>All crashes</v>
      </c>
      <c r="Y77" s="0" t="n">
        <f aca="false">IF($C$12="Any",5,IF($C$12=X77,5,IF(AND($C$12="Fatal &amp; injury only",X77="All crashes"),3,0)))</f>
        <v>5</v>
      </c>
      <c r="Z77" s="0" t="str">
        <f aca="false">Treatments!AE45&amp;" / "&amp;Treatments!AF45</f>
        <v>All crashes / Only: Nighttime</v>
      </c>
      <c r="AA77" s="0" t="str">
        <f aca="false">IF(OR(Treatments!AH45="Overstates",Treatments!AH45="Check"),UPPER(Treatments!AH45)&amp;": "&amp;Treatments!AI45&amp;". ","")&amp;IF(Treatments!AG45="","",Treatments!AG45)</f>
        <v>OVERSTATES: Night crashes only. Study roads: Principal Arterial Other Freeways and Expressways. Not for collectors or locals (team). Study AADT is below the SC average for this class (~17,000). AADT tested: 7,400-13,975.</v>
      </c>
    </row>
    <row r="78" customFormat="false" ht="12.75" hidden="true" customHeight="false" outlineLevel="0" collapsed="false">
      <c r="A78" s="0" t="n">
        <v>44</v>
      </c>
      <c r="B78" s="0" t="str">
        <f aca="false">Treatments!A46</f>
        <v>Install Centerline Rumble Strips</v>
      </c>
      <c r="C78" s="0" t="str">
        <f aca="false">Treatments!B46</f>
        <v>CM: Centerline Rumble Strips (Two-Lane Roads)</v>
      </c>
      <c r="D78" s="0" t="n">
        <f aca="false">Treatments!Q46</f>
        <v>44</v>
      </c>
      <c r="E78" s="0" t="n">
        <f aca="false">Treatments!P46</f>
        <v>0.56</v>
      </c>
      <c r="F78" s="0" t="n">
        <f aca="false">IF(ISNUMBER(Treatments!N46),Treatments!N46,0)</f>
        <v>4</v>
      </c>
      <c r="G78" s="0" t="n">
        <f aca="false">IF(ISNUMBER(Treatments!U46),Treatments!U46,"")</f>
        <v>574</v>
      </c>
      <c r="H78" s="0" t="n">
        <f aca="false">IF(ISNUMBER(Treatments!V46),Treatments!V46,"")</f>
        <v>17591</v>
      </c>
      <c r="I78" s="0" t="s">
        <v>73</v>
      </c>
      <c r="J78" s="0" t="s">
        <v>68</v>
      </c>
      <c r="K78" s="0" t="s">
        <v>22</v>
      </c>
      <c r="L78" s="0" t="s">
        <v>91</v>
      </c>
      <c r="M78" s="0" t="n">
        <f aca="false">IF(ISNUMBER(SEARCH("|"&amp;$C$7&amp;"|",L78)),45,IF(ISNUMBER(SEARCH("|All|",L78)),18,0))</f>
        <v>45</v>
      </c>
      <c r="N78" s="0" t="n">
        <f aca="false">IF(OR($C$4="Any",I78="All"),12,IF(ISNUMBER(SEARCH($C$4,I78)),12,0))</f>
        <v>12</v>
      </c>
      <c r="O78" s="0" t="n">
        <f aca="false">IF(OR($C$5="Any",J78="Any",J78=$C$5),13,0)</f>
        <v>13</v>
      </c>
      <c r="P78" s="0" t="n">
        <f aca="false">IF(OR($C$6="Any",K78="Any",K78=$C$6),10,0)</f>
        <v>10</v>
      </c>
      <c r="Q78" s="0" t="n">
        <f aca="false">IF($C$8="",4,IF(AND(ISNUMBER(G78),ISNUMBER(H78)),IF(AND($C$8&gt;=G78,$C$8&lt;=H78),7,0),4))</f>
        <v>4</v>
      </c>
      <c r="R78" s="0" t="n">
        <f aca="false">M78+N78+O78+P78+Q78+V78+Y78</f>
        <v>97</v>
      </c>
      <c r="S78" s="0" t="n">
        <f aca="false">IF(OR(M78=0,W78=0),-A78,R78*100+D78+F78*0.5-A78*0.001)</f>
        <v>9745.956</v>
      </c>
      <c r="T78" s="0" t="str">
        <f aca="false">Treatments!M46</f>
        <v>Original </v>
      </c>
      <c r="U78" s="0" t="s">
        <v>22</v>
      </c>
      <c r="V78" s="0" t="n">
        <f aca="false">IF(OR($C$11="Any",U78="Any",U78=$C$11),8,0)</f>
        <v>8</v>
      </c>
      <c r="W78" s="0" t="n">
        <f aca="false">IF(LEFT(Treatments!AD46,3)="Yes",1,0)</f>
        <v>1</v>
      </c>
      <c r="X78" s="0" t="str">
        <f aca="false">Treatments!AE46</f>
        <v>Fatal &amp; injury only</v>
      </c>
      <c r="Y78" s="0" t="n">
        <f aca="false">IF($C$12="Any",5,IF($C$12=X78,5,IF(AND($C$12="Fatal &amp; injury only",X78="All crashes"),3,0)))</f>
        <v>5</v>
      </c>
      <c r="Z78" s="0" t="str">
        <f aca="false">Treatments!AE46&amp;" / "&amp;Treatments!AF46</f>
        <v>Fatal &amp; injury only / Only: Head on,Sideswipe</v>
      </c>
      <c r="AA78" s="0" t="str">
        <f aca="false">IF(OR(Treatments!AH46="Overstates",Treatments!AH46="Check"),UPPER(Treatments!AH46)&amp;": "&amp;Treatments!AI46&amp;". ","")&amp;IF(Treatments!AG46="","",Treatments!AG46)</f>
        <v>AADT tested: 574-17,591.</v>
      </c>
    </row>
    <row r="79" customFormat="false" ht="12.75" hidden="true" customHeight="false" outlineLevel="0" collapsed="false">
      <c r="A79" s="0" t="n">
        <v>45</v>
      </c>
      <c r="B79" s="0" t="str">
        <f aca="false">Treatments!A47</f>
        <v>Install Shoulder Rumble Strips With An Offset Of 9-20 Inches Relative To The Edgeline</v>
      </c>
      <c r="C79" s="0" t="str">
        <f aca="false">Treatments!B47</f>
        <v>CM: Shoulder Rumble Strips</v>
      </c>
      <c r="D79" s="0" t="n">
        <f aca="false">Treatments!Q47</f>
        <v>51</v>
      </c>
      <c r="E79" s="0" t="n">
        <f aca="false">Treatments!P47</f>
        <v>0.49</v>
      </c>
      <c r="F79" s="0" t="n">
        <f aca="false">IF(ISNUMBER(Treatments!N47),Treatments!N47,0)</f>
        <v>3</v>
      </c>
      <c r="G79" s="0" t="n">
        <f aca="false">IF(ISNUMBER(Treatments!U47),Treatments!U47,"")</f>
        <v>11539</v>
      </c>
      <c r="H79" s="0" t="n">
        <f aca="false">IF(ISNUMBER(Treatments!V47),Treatments!V47,"")</f>
        <v>37112</v>
      </c>
      <c r="I79" s="0" t="s">
        <v>73</v>
      </c>
      <c r="J79" s="0" t="s">
        <v>68</v>
      </c>
      <c r="K79" s="0" t="s">
        <v>22</v>
      </c>
      <c r="L79" s="0" t="s">
        <v>92</v>
      </c>
      <c r="M79" s="0" t="n">
        <f aca="false">IF(ISNUMBER(SEARCH("|"&amp;$C$7&amp;"|",L79)),45,IF(ISNUMBER(SEARCH("|All|",L79)),18,0))</f>
        <v>45</v>
      </c>
      <c r="N79" s="0" t="n">
        <f aca="false">IF(OR($C$4="Any",I79="All"),12,IF(ISNUMBER(SEARCH($C$4,I79)),12,0))</f>
        <v>12</v>
      </c>
      <c r="O79" s="0" t="n">
        <f aca="false">IF(OR($C$5="Any",J79="Any",J79=$C$5),13,0)</f>
        <v>13</v>
      </c>
      <c r="P79" s="0" t="n">
        <f aca="false">IF(OR($C$6="Any",K79="Any",K79=$C$6),10,0)</f>
        <v>10</v>
      </c>
      <c r="Q79" s="0" t="n">
        <f aca="false">IF($C$8="",4,IF(AND(ISNUMBER(G79),ISNUMBER(H79)),IF(AND($C$8&gt;=G79,$C$8&lt;=H79),7,0),4))</f>
        <v>4</v>
      </c>
      <c r="R79" s="0" t="n">
        <f aca="false">M79+N79+O79+P79+Q79+V79+Y79</f>
        <v>97</v>
      </c>
      <c r="S79" s="0" t="n">
        <f aca="false">IF(OR(M79=0,W79=0),-A79,R79*100+D79+F79*0.5-A79*0.001)</f>
        <v>-45</v>
      </c>
      <c r="T79" s="0" t="str">
        <f aca="false">Treatments!M47</f>
        <v>Original </v>
      </c>
      <c r="U79" s="0" t="s">
        <v>70</v>
      </c>
      <c r="V79" s="0" t="n">
        <f aca="false">IF(OR($C$11="Any",U79="Any",U79=$C$11),8,0)</f>
        <v>8</v>
      </c>
      <c r="W79" s="0" t="n">
        <f aca="false">IF(LEFT(Treatments!AD47,3)="Yes",1,0)</f>
        <v>0</v>
      </c>
      <c r="X79" s="0" t="str">
        <f aca="false">Treatments!AE47</f>
        <v>Fatal &amp; injury only</v>
      </c>
      <c r="Y79" s="0" t="n">
        <f aca="false">IF($C$12="Any",5,IF($C$12=X79,5,IF(AND($C$12="Fatal &amp; injury only",X79="All crashes"),3,0)))</f>
        <v>5</v>
      </c>
      <c r="Z79" s="0" t="str">
        <f aca="false">Treatments!AE47&amp;" / "&amp;Treatments!AF47</f>
        <v>Fatal &amp; injury only / Only: Run off road</v>
      </c>
      <c r="AA79" s="0" t="str">
        <f aca="false">IF(OR(Treatments!AH47="Overstates",Treatments!AH47="Check"),UPPER(Treatments!AH47)&amp;": "&amp;Treatments!AI47&amp;". ","")&amp;IF(Treatments!AG47="","",Treatments!AG47)</f>
        <v>Study roads: Principal Arterial Other Freeways and Expressways. Not for collectors or locals (team). AADT tested: 11,539-37,112.</v>
      </c>
    </row>
    <row r="80" customFormat="false" ht="12.75" hidden="true" customHeight="false" outlineLevel="0" collapsed="false">
      <c r="A80" s="0" t="n">
        <v>46</v>
      </c>
      <c r="B80" s="0" t="str">
        <f aca="false">Treatments!A48</f>
        <v>Install Shoulder Rumble Strips</v>
      </c>
      <c r="C80" s="0" t="str">
        <f aca="false">Treatments!B48</f>
        <v>CM: Shoulder Rumble Strips</v>
      </c>
      <c r="D80" s="0" t="n">
        <f aca="false">Treatments!Q48</f>
        <v>13</v>
      </c>
      <c r="E80" s="0" t="n">
        <f aca="false">Treatments!P48</f>
        <v>0.87</v>
      </c>
      <c r="F80" s="0" t="n">
        <f aca="false">IF(ISNUMBER(Treatments!N48),Treatments!N48,0)</f>
        <v>3</v>
      </c>
      <c r="G80" s="0" t="n">
        <f aca="false">IF(ISNUMBER(Treatments!U48),Treatments!U48,"")</f>
        <v>6777</v>
      </c>
      <c r="H80" s="0" t="n">
        <f aca="false">IF(ISNUMBER(Treatments!V48),Treatments!V48,"")</f>
        <v>24752</v>
      </c>
      <c r="I80" s="0" t="s">
        <v>73</v>
      </c>
      <c r="J80" s="0" t="s">
        <v>68</v>
      </c>
      <c r="K80" s="0" t="s">
        <v>22</v>
      </c>
      <c r="L80" s="0" t="s">
        <v>89</v>
      </c>
      <c r="M80" s="0" t="n">
        <f aca="false">IF(ISNUMBER(SEARCH("|"&amp;$C$7&amp;"|",L80)),45,IF(ISNUMBER(SEARCH("|All|",L80)),18,0))</f>
        <v>45</v>
      </c>
      <c r="N80" s="0" t="n">
        <f aca="false">IF(OR($C$4="Any",I80="All"),12,IF(ISNUMBER(SEARCH($C$4,I80)),12,0))</f>
        <v>12</v>
      </c>
      <c r="O80" s="0" t="n">
        <f aca="false">IF(OR($C$5="Any",J80="Any",J80=$C$5),13,0)</f>
        <v>13</v>
      </c>
      <c r="P80" s="0" t="n">
        <f aca="false">IF(OR($C$6="Any",K80="Any",K80=$C$6),10,0)</f>
        <v>10</v>
      </c>
      <c r="Q80" s="0" t="n">
        <f aca="false">IF($C$8="",4,IF(AND(ISNUMBER(G80),ISNUMBER(H80)),IF(AND($C$8&gt;=G80,$C$8&lt;=H80),7,0),4))</f>
        <v>4</v>
      </c>
      <c r="R80" s="0" t="n">
        <f aca="false">M80+N80+O80+P80+Q80+V80+Y80</f>
        <v>97</v>
      </c>
      <c r="S80" s="0" t="n">
        <f aca="false">IF(OR(M80=0,W80=0),-A80,R80*100+D80+F80*0.5-A80*0.001)</f>
        <v>-46</v>
      </c>
      <c r="T80" s="0" t="str">
        <f aca="false">Treatments!M48</f>
        <v>Original </v>
      </c>
      <c r="U80" s="0" t="s">
        <v>70</v>
      </c>
      <c r="V80" s="0" t="n">
        <f aca="false">IF(OR($C$11="Any",U80="Any",U80=$C$11),8,0)</f>
        <v>8</v>
      </c>
      <c r="W80" s="0" t="n">
        <f aca="false">IF(LEFT(Treatments!AD48,3)="Yes",1,0)</f>
        <v>0</v>
      </c>
      <c r="X80" s="0" t="str">
        <f aca="false">Treatments!AE48</f>
        <v>Fatal &amp; injury only</v>
      </c>
      <c r="Y80" s="0" t="n">
        <f aca="false">IF($C$12="Any",5,IF($C$12=X80,5,IF(AND($C$12="Fatal &amp; injury only",X80="All crashes"),3,0)))</f>
        <v>5</v>
      </c>
      <c r="Z80" s="0" t="str">
        <f aca="false">Treatments!AE48&amp;" / "&amp;Treatments!AF48</f>
        <v>Fatal &amp; injury only / All crash types</v>
      </c>
      <c r="AA80" s="0" t="str">
        <f aca="false">IF(OR(Treatments!AH48="Overstates",Treatments!AH48="Check"),UPPER(Treatments!AH48)&amp;": "&amp;Treatments!AI48&amp;". ","")&amp;IF(Treatments!AG48="","",Treatments!AG48)</f>
        <v>Study roads: Principal Arterial Other Freeways and Expressways. Not for collectors or locals (team). AADT tested: 6,777-24,752.</v>
      </c>
    </row>
    <row r="81" customFormat="false" ht="12.75" hidden="true" customHeight="false" outlineLevel="0" collapsed="false">
      <c r="A81" s="0" t="n">
        <v>47</v>
      </c>
      <c r="B81" s="0" t="str">
        <f aca="false">Treatments!A49</f>
        <v>Install Sinusoidal Rumble Strip</v>
      </c>
      <c r="C81" s="0" t="str">
        <f aca="false">Treatments!B49</f>
        <v>CM: Centerline Rumble Strips (Two-Lane Roads)</v>
      </c>
      <c r="D81" s="0" t="n">
        <f aca="false">Treatments!Q49</f>
        <v>57</v>
      </c>
      <c r="E81" s="0" t="n">
        <f aca="false">Treatments!P49</f>
        <v>0.43</v>
      </c>
      <c r="F81" s="0" t="n">
        <f aca="false">IF(ISNUMBER(Treatments!N49),Treatments!N49,0)</f>
        <v>5</v>
      </c>
      <c r="G81" s="0" t="str">
        <f aca="false">IF(ISNUMBER(Treatments!U49),Treatments!U49,"")</f>
        <v/>
      </c>
      <c r="H81" s="0" t="str">
        <f aca="false">IF(ISNUMBER(Treatments!V49),Treatments!V49,"")</f>
        <v/>
      </c>
      <c r="I81" s="0" t="s">
        <v>72</v>
      </c>
      <c r="J81" s="0" t="s">
        <v>68</v>
      </c>
      <c r="K81" s="0" t="s">
        <v>22</v>
      </c>
      <c r="L81" s="0" t="s">
        <v>91</v>
      </c>
      <c r="M81" s="0" t="n">
        <f aca="false">IF(ISNUMBER(SEARCH("|"&amp;$C$7&amp;"|",L81)),45,IF(ISNUMBER(SEARCH("|All|",L81)),18,0))</f>
        <v>45</v>
      </c>
      <c r="N81" s="0" t="n">
        <f aca="false">IF(OR($C$4="Any",I81="All"),12,IF(ISNUMBER(SEARCH($C$4,I81)),12,0))</f>
        <v>12</v>
      </c>
      <c r="O81" s="0" t="n">
        <f aca="false">IF(OR($C$5="Any",J81="Any",J81=$C$5),13,0)</f>
        <v>13</v>
      </c>
      <c r="P81" s="0" t="n">
        <f aca="false">IF(OR($C$6="Any",K81="Any",K81=$C$6),10,0)</f>
        <v>10</v>
      </c>
      <c r="Q81" s="0" t="n">
        <f aca="false">IF($C$8="",4,IF(AND(ISNUMBER(G81),ISNUMBER(H81)),IF(AND($C$8&gt;=G81,$C$8&lt;=H81),7,0),4))</f>
        <v>4</v>
      </c>
      <c r="R81" s="0" t="n">
        <f aca="false">M81+N81+O81+P81+Q81+V81+Y81</f>
        <v>97</v>
      </c>
      <c r="S81" s="0" t="n">
        <f aca="false">IF(OR(M81=0,W81=0),-A81,R81*100+D81+F81*0.5-A81*0.001)</f>
        <v>9759.453</v>
      </c>
      <c r="T81" s="0" t="str">
        <f aca="false">Treatments!M49</f>
        <v>Added  </v>
      </c>
      <c r="U81" s="0" t="s">
        <v>71</v>
      </c>
      <c r="V81" s="0" t="n">
        <f aca="false">IF(OR($C$11="Any",U81="Any",U81=$C$11),8,0)</f>
        <v>8</v>
      </c>
      <c r="W81" s="0" t="n">
        <f aca="false">IF(LEFT(Treatments!AD49,3)="Yes",1,0)</f>
        <v>1</v>
      </c>
      <c r="X81" s="0" t="str">
        <f aca="false">Treatments!AE49</f>
        <v>All crashes</v>
      </c>
      <c r="Y81" s="0" t="n">
        <f aca="false">IF($C$12="Any",5,IF($C$12=X81,5,IF(AND($C$12="Fatal &amp; injury only",X81="All crashes"),3,0)))</f>
        <v>5</v>
      </c>
      <c r="Z81" s="0" t="str">
        <f aca="false">Treatments!AE49&amp;" / "&amp;Treatments!AF49</f>
        <v>All crashes / Only: Other</v>
      </c>
      <c r="AA81" s="0" t="str">
        <f aca="false">IF(OR(Treatments!AH49="Overstates",Treatments!AH49="Check"),UPPER(Treatments!AH49)&amp;": "&amp;Treatments!AI49&amp;". ","")&amp;IF(Treatments!AG49="","",Treatments!AG49)</f>
        <v>No AADT range in the study.</v>
      </c>
    </row>
    <row r="82" customFormat="false" ht="12.75" hidden="true" customHeight="false" outlineLevel="0" collapsed="false">
      <c r="A82" s="0" t="n">
        <v>48</v>
      </c>
      <c r="B82" s="0" t="str">
        <f aca="false">Treatments!A50</f>
        <v>Install Centerline Rumble Strips</v>
      </c>
      <c r="C82" s="0" t="str">
        <f aca="false">Treatments!B50</f>
        <v>CM: Centerline Rumble Strips (Two-Lane Roads)</v>
      </c>
      <c r="D82" s="0" t="n">
        <f aca="false">Treatments!Q50</f>
        <v>49</v>
      </c>
      <c r="E82" s="0" t="n">
        <f aca="false">Treatments!P50</f>
        <v>0.51</v>
      </c>
      <c r="F82" s="0" t="n">
        <f aca="false">IF(ISNUMBER(Treatments!N50),Treatments!N50,0)</f>
        <v>5</v>
      </c>
      <c r="G82" s="0" t="n">
        <f aca="false">IF(ISNUMBER(Treatments!U50),Treatments!U50,"")</f>
        <v>1336</v>
      </c>
      <c r="H82" s="0" t="n">
        <f aca="false">IF(ISNUMBER(Treatments!V50),Treatments!V50,"")</f>
        <v>13240</v>
      </c>
      <c r="I82" s="0" t="s">
        <v>73</v>
      </c>
      <c r="J82" s="0" t="s">
        <v>68</v>
      </c>
      <c r="K82" s="0" t="s">
        <v>22</v>
      </c>
      <c r="L82" s="0" t="s">
        <v>91</v>
      </c>
      <c r="M82" s="0" t="n">
        <f aca="false">IF(ISNUMBER(SEARCH("|"&amp;$C$7&amp;"|",L82)),45,IF(ISNUMBER(SEARCH("|All|",L82)),18,0))</f>
        <v>45</v>
      </c>
      <c r="N82" s="0" t="n">
        <f aca="false">IF(OR($C$4="Any",I82="All"),12,IF(ISNUMBER(SEARCH($C$4,I82)),12,0))</f>
        <v>12</v>
      </c>
      <c r="O82" s="0" t="n">
        <f aca="false">IF(OR($C$5="Any",J82="Any",J82=$C$5),13,0)</f>
        <v>13</v>
      </c>
      <c r="P82" s="0" t="n">
        <f aca="false">IF(OR($C$6="Any",K82="Any",K82=$C$6),10,0)</f>
        <v>10</v>
      </c>
      <c r="Q82" s="0" t="n">
        <f aca="false">IF($C$8="",4,IF(AND(ISNUMBER(G82),ISNUMBER(H82)),IF(AND($C$8&gt;=G82,$C$8&lt;=H82),7,0),4))</f>
        <v>4</v>
      </c>
      <c r="R82" s="0" t="n">
        <f aca="false">M82+N82+O82+P82+Q82+V82+Y82</f>
        <v>97</v>
      </c>
      <c r="S82" s="0" t="n">
        <f aca="false">IF(OR(M82=0,W82=0),-A82,R82*100+D82+F82*0.5-A82*0.001)</f>
        <v>9751.452</v>
      </c>
      <c r="T82" s="0" t="str">
        <f aca="false">Treatments!M50</f>
        <v>Added  </v>
      </c>
      <c r="U82" s="0" t="s">
        <v>22</v>
      </c>
      <c r="V82" s="0" t="n">
        <f aca="false">IF(OR($C$11="Any",U82="Any",U82=$C$11),8,0)</f>
        <v>8</v>
      </c>
      <c r="W82" s="0" t="n">
        <f aca="false">IF(LEFT(Treatments!AD50,3)="Yes",1,0)</f>
        <v>1</v>
      </c>
      <c r="X82" s="0" t="str">
        <f aca="false">Treatments!AE50</f>
        <v>All crashes</v>
      </c>
      <c r="Y82" s="0" t="n">
        <f aca="false">IF($C$12="Any",5,IF($C$12=X82,5,IF(AND($C$12="Fatal &amp; injury only",X82="All crashes"),3,0)))</f>
        <v>5</v>
      </c>
      <c r="Z82" s="0" t="str">
        <f aca="false">Treatments!AE50&amp;" / "&amp;Treatments!AF50</f>
        <v>All crashes / Only: Head on,Sideswipe</v>
      </c>
      <c r="AA82" s="0" t="str">
        <f aca="false">IF(OR(Treatments!AH50="Overstates",Treatments!AH50="Check"),UPPER(Treatments!AH50)&amp;": "&amp;Treatments!AI50&amp;". ","")&amp;IF(Treatments!AG50="","",Treatments!AG50)</f>
        <v>AADT tested: 1,336-13,240.</v>
      </c>
    </row>
    <row r="83" customFormat="false" ht="12.75" hidden="true" customHeight="false" outlineLevel="0" collapsed="false">
      <c r="A83" s="0" t="n">
        <v>49</v>
      </c>
      <c r="B83" s="0" t="str">
        <f aca="false">Treatments!A51</f>
        <v>Install Centerline Rumble Strips On Tangent Sections</v>
      </c>
      <c r="C83" s="0" t="str">
        <f aca="false">Treatments!B51</f>
        <v>CM: Centerline Rumble Strips (Two-Lane Roads)</v>
      </c>
      <c r="D83" s="0" t="n">
        <f aca="false">Treatments!Q51</f>
        <v>49</v>
      </c>
      <c r="E83" s="0" t="n">
        <f aca="false">Treatments!P51</f>
        <v>0.51</v>
      </c>
      <c r="F83" s="0" t="n">
        <f aca="false">IF(ISNUMBER(Treatments!N51),Treatments!N51,0)</f>
        <v>5</v>
      </c>
      <c r="G83" s="0" t="n">
        <f aca="false">IF(ISNUMBER(Treatments!U51),Treatments!U51,"")</f>
        <v>1336</v>
      </c>
      <c r="H83" s="0" t="n">
        <f aca="false">IF(ISNUMBER(Treatments!V51),Treatments!V51,"")</f>
        <v>13240</v>
      </c>
      <c r="I83" s="0" t="s">
        <v>73</v>
      </c>
      <c r="J83" s="0" t="s">
        <v>68</v>
      </c>
      <c r="K83" s="0" t="s">
        <v>22</v>
      </c>
      <c r="L83" s="0" t="s">
        <v>91</v>
      </c>
      <c r="M83" s="0" t="n">
        <f aca="false">IF(ISNUMBER(SEARCH("|"&amp;$C$7&amp;"|",L83)),45,IF(ISNUMBER(SEARCH("|All|",L83)),18,0))</f>
        <v>45</v>
      </c>
      <c r="N83" s="0" t="n">
        <f aca="false">IF(OR($C$4="Any",I83="All"),12,IF(ISNUMBER(SEARCH($C$4,I83)),12,0))</f>
        <v>12</v>
      </c>
      <c r="O83" s="0" t="n">
        <f aca="false">IF(OR($C$5="Any",J83="Any",J83=$C$5),13,0)</f>
        <v>13</v>
      </c>
      <c r="P83" s="0" t="n">
        <f aca="false">IF(OR($C$6="Any",K83="Any",K83=$C$6),10,0)</f>
        <v>10</v>
      </c>
      <c r="Q83" s="0" t="n">
        <f aca="false">IF($C$8="",4,IF(AND(ISNUMBER(G83),ISNUMBER(H83)),IF(AND($C$8&gt;=G83,$C$8&lt;=H83),7,0),4))</f>
        <v>4</v>
      </c>
      <c r="R83" s="0" t="n">
        <f aca="false">M83+N83+O83+P83+Q83+V83+Y83</f>
        <v>97</v>
      </c>
      <c r="S83" s="0" t="n">
        <f aca="false">IF(OR(M83=0,W83=0),-A83,R83*100+D83+F83*0.5-A83*0.001)</f>
        <v>9751.451</v>
      </c>
      <c r="T83" s="0" t="str">
        <f aca="false">Treatments!M51</f>
        <v>Added  </v>
      </c>
      <c r="U83" s="0" t="s">
        <v>22</v>
      </c>
      <c r="V83" s="0" t="n">
        <f aca="false">IF(OR($C$11="Any",U83="Any",U83=$C$11),8,0)</f>
        <v>8</v>
      </c>
      <c r="W83" s="0" t="n">
        <f aca="false">IF(LEFT(Treatments!AD51,3)="Yes",1,0)</f>
        <v>1</v>
      </c>
      <c r="X83" s="0" t="str">
        <f aca="false">Treatments!AE51</f>
        <v>All crashes</v>
      </c>
      <c r="Y83" s="0" t="n">
        <f aca="false">IF($C$12="Any",5,IF($C$12=X83,5,IF(AND($C$12="Fatal &amp; injury only",X83="All crashes"),3,0)))</f>
        <v>5</v>
      </c>
      <c r="Z83" s="0" t="str">
        <f aca="false">Treatments!AE51&amp;" / "&amp;Treatments!AF51</f>
        <v>All crashes / Only: Head on,Sideswipe</v>
      </c>
      <c r="AA83" s="0" t="str">
        <f aca="false">IF(OR(Treatments!AH51="Overstates",Treatments!AH51="Check"),UPPER(Treatments!AH51)&amp;": "&amp;Treatments!AI51&amp;". ","")&amp;IF(Treatments!AG51="","",Treatments!AG51)</f>
        <v>AADT tested: 1,336-13,240.</v>
      </c>
    </row>
    <row r="84" customFormat="false" ht="12.75" hidden="true" customHeight="false" outlineLevel="0" collapsed="false">
      <c r="A84" s="0" t="n">
        <v>50</v>
      </c>
      <c r="B84" s="0" t="str">
        <f aca="false">Treatments!A52</f>
        <v>Install Centerline Rumble Strips On Horizontal Curves</v>
      </c>
      <c r="C84" s="0" t="str">
        <f aca="false">Treatments!B52</f>
        <v>CM: Centerline Rumble Strips (Two-Lane Roads)</v>
      </c>
      <c r="D84" s="0" t="n">
        <f aca="false">Treatments!Q52</f>
        <v>47</v>
      </c>
      <c r="E84" s="0" t="n">
        <f aca="false">Treatments!P52</f>
        <v>0.53</v>
      </c>
      <c r="F84" s="0" t="n">
        <f aca="false">IF(ISNUMBER(Treatments!N52),Treatments!N52,0)</f>
        <v>5</v>
      </c>
      <c r="G84" s="0" t="n">
        <f aca="false">IF(ISNUMBER(Treatments!U52),Treatments!U52,"")</f>
        <v>574</v>
      </c>
      <c r="H84" s="0" t="n">
        <f aca="false">IF(ISNUMBER(Treatments!V52),Treatments!V52,"")</f>
        <v>20784</v>
      </c>
      <c r="I84" s="0" t="s">
        <v>73</v>
      </c>
      <c r="J84" s="0" t="s">
        <v>68</v>
      </c>
      <c r="K84" s="0" t="s">
        <v>22</v>
      </c>
      <c r="L84" s="0" t="s">
        <v>91</v>
      </c>
      <c r="M84" s="0" t="n">
        <f aca="false">IF(ISNUMBER(SEARCH("|"&amp;$C$7&amp;"|",L84)),45,IF(ISNUMBER(SEARCH("|All|",L84)),18,0))</f>
        <v>45</v>
      </c>
      <c r="N84" s="0" t="n">
        <f aca="false">IF(OR($C$4="Any",I84="All"),12,IF(ISNUMBER(SEARCH($C$4,I84)),12,0))</f>
        <v>12</v>
      </c>
      <c r="O84" s="0" t="n">
        <f aca="false">IF(OR($C$5="Any",J84="Any",J84=$C$5),13,0)</f>
        <v>13</v>
      </c>
      <c r="P84" s="0" t="n">
        <f aca="false">IF(OR($C$6="Any",K84="Any",K84=$C$6),10,0)</f>
        <v>10</v>
      </c>
      <c r="Q84" s="0" t="n">
        <f aca="false">IF($C$8="",4,IF(AND(ISNUMBER(G84),ISNUMBER(H84)),IF(AND($C$8&gt;=G84,$C$8&lt;=H84),7,0),4))</f>
        <v>4</v>
      </c>
      <c r="R84" s="0" t="n">
        <f aca="false">M84+N84+O84+P84+Q84+V84+Y84</f>
        <v>97</v>
      </c>
      <c r="S84" s="0" t="n">
        <f aca="false">IF(OR(M84=0,W84=0),-A84,R84*100+D84+F84*0.5-A84*0.001)</f>
        <v>9749.45</v>
      </c>
      <c r="T84" s="0" t="str">
        <f aca="false">Treatments!M52</f>
        <v>Added  </v>
      </c>
      <c r="U84" s="0" t="s">
        <v>22</v>
      </c>
      <c r="V84" s="0" t="n">
        <f aca="false">IF(OR($C$11="Any",U84="Any",U84=$C$11),8,0)</f>
        <v>8</v>
      </c>
      <c r="W84" s="0" t="n">
        <f aca="false">IF(LEFT(Treatments!AD52,3)="Yes",1,0)</f>
        <v>1</v>
      </c>
      <c r="X84" s="0" t="str">
        <f aca="false">Treatments!AE52</f>
        <v>All crashes</v>
      </c>
      <c r="Y84" s="0" t="n">
        <f aca="false">IF($C$12="Any",5,IF($C$12=X84,5,IF(AND($C$12="Fatal &amp; injury only",X84="All crashes"),3,0)))</f>
        <v>5</v>
      </c>
      <c r="Z84" s="0" t="str">
        <f aca="false">Treatments!AE52&amp;" / "&amp;Treatments!AF52</f>
        <v>All crashes / Only: Head on,Sideswipe</v>
      </c>
      <c r="AA84" s="0" t="str">
        <f aca="false">IF(OR(Treatments!AH52="Overstates",Treatments!AH52="Check"),UPPER(Treatments!AH52)&amp;": "&amp;Treatments!AI52&amp;". ","")&amp;IF(Treatments!AG52="","",Treatments!AG52)</f>
        <v>AADT tested: 574-20,784.</v>
      </c>
    </row>
    <row r="85" customFormat="false" ht="12.75" hidden="true" customHeight="false" outlineLevel="0" collapsed="false">
      <c r="A85" s="0" t="n">
        <v>51</v>
      </c>
      <c r="B85" s="0" t="str">
        <f aca="false">Treatments!A53</f>
        <v>Install Centerline And Shoulder Rumble Strips</v>
      </c>
      <c r="C85" s="0" t="str">
        <f aca="false">Treatments!B53</f>
        <v>CM: Shoulder Rumble Strips</v>
      </c>
      <c r="D85" s="0" t="n">
        <f aca="false">Treatments!Q53</f>
        <v>44.2</v>
      </c>
      <c r="E85" s="0" t="n">
        <f aca="false">Treatments!P53</f>
        <v>0.558</v>
      </c>
      <c r="F85" s="0" t="n">
        <f aca="false">IF(ISNUMBER(Treatments!N53),Treatments!N53,0)</f>
        <v>5</v>
      </c>
      <c r="G85" s="0" t="n">
        <f aca="false">IF(ISNUMBER(Treatments!U53),Treatments!U53,"")</f>
        <v>154</v>
      </c>
      <c r="H85" s="0" t="n">
        <f aca="false">IF(ISNUMBER(Treatments!V53),Treatments!V53,"")</f>
        <v>15848</v>
      </c>
      <c r="I85" s="0" t="s">
        <v>73</v>
      </c>
      <c r="J85" s="0" t="s">
        <v>68</v>
      </c>
      <c r="K85" s="0" t="s">
        <v>22</v>
      </c>
      <c r="L85" s="0" t="s">
        <v>89</v>
      </c>
      <c r="M85" s="0" t="n">
        <f aca="false">IF(ISNUMBER(SEARCH("|"&amp;$C$7&amp;"|",L85)),45,IF(ISNUMBER(SEARCH("|All|",L85)),18,0))</f>
        <v>45</v>
      </c>
      <c r="N85" s="0" t="n">
        <f aca="false">IF(OR($C$4="Any",I85="All"),12,IF(ISNUMBER(SEARCH($C$4,I85)),12,0))</f>
        <v>12</v>
      </c>
      <c r="O85" s="0" t="n">
        <f aca="false">IF(OR($C$5="Any",J85="Any",J85=$C$5),13,0)</f>
        <v>13</v>
      </c>
      <c r="P85" s="0" t="n">
        <f aca="false">IF(OR($C$6="Any",K85="Any",K85=$C$6),10,0)</f>
        <v>10</v>
      </c>
      <c r="Q85" s="0" t="n">
        <f aca="false">IF($C$8="",4,IF(AND(ISNUMBER(G85),ISNUMBER(H85)),IF(AND($C$8&gt;=G85,$C$8&lt;=H85),7,0),4))</f>
        <v>4</v>
      </c>
      <c r="R85" s="0" t="n">
        <f aca="false">M85+N85+O85+P85+Q85+V85+Y85</f>
        <v>97</v>
      </c>
      <c r="S85" s="0" t="n">
        <f aca="false">IF(OR(M85=0,W85=0),-A85,R85*100+D85+F85*0.5-A85*0.001)</f>
        <v>9746.649</v>
      </c>
      <c r="T85" s="0" t="str">
        <f aca="false">Treatments!M53</f>
        <v>Added  </v>
      </c>
      <c r="U85" s="0" t="s">
        <v>22</v>
      </c>
      <c r="V85" s="0" t="n">
        <f aca="false">IF(OR($C$11="Any",U85="Any",U85=$C$11),8,0)</f>
        <v>8</v>
      </c>
      <c r="W85" s="0" t="n">
        <f aca="false">IF(LEFT(Treatments!AD53,3)="Yes",1,0)</f>
        <v>1</v>
      </c>
      <c r="X85" s="0" t="str">
        <f aca="false">Treatments!AE53</f>
        <v>Fatal &amp; injury only</v>
      </c>
      <c r="Y85" s="0" t="n">
        <f aca="false">IF($C$12="Any",5,IF($C$12=X85,5,IF(AND($C$12="Fatal &amp; injury only",X85="All crashes"),3,0)))</f>
        <v>5</v>
      </c>
      <c r="Z85" s="0" t="str">
        <f aca="false">Treatments!AE53&amp;" / "&amp;Treatments!AF53</f>
        <v>Fatal &amp; injury only / All crash types</v>
      </c>
      <c r="AA85" s="0" t="str">
        <f aca="false">IF(OR(Treatments!AH53="Overstates",Treatments!AH53="Check"),UPPER(Treatments!AH53)&amp;": "&amp;Treatments!AI53&amp;". ","")&amp;IF(Treatments!AG53="","",Treatments!AG53)</f>
        <v>AADT tested: 154-15,848.</v>
      </c>
    </row>
    <row r="86" customFormat="false" ht="12.75" hidden="true" customHeight="false" outlineLevel="0" collapsed="false">
      <c r="A86" s="0" t="n">
        <v>52</v>
      </c>
      <c r="B86" s="0" t="str">
        <f aca="false">Treatments!A54</f>
        <v>Install Shoulder Rumble Strips</v>
      </c>
      <c r="C86" s="0" t="str">
        <f aca="false">Treatments!B54</f>
        <v>CM: Shoulder Rumble Strips</v>
      </c>
      <c r="D86" s="0" t="n">
        <f aca="false">Treatments!Q54</f>
        <v>42</v>
      </c>
      <c r="E86" s="0" t="n">
        <f aca="false">Treatments!P54</f>
        <v>0.58</v>
      </c>
      <c r="F86" s="0" t="n">
        <f aca="false">IF(ISNUMBER(Treatments!N54),Treatments!N54,0)</f>
        <v>5</v>
      </c>
      <c r="G86" s="0" t="n">
        <f aca="false">IF(ISNUMBER(Treatments!U54),Treatments!U54,"")</f>
        <v>6777</v>
      </c>
      <c r="H86" s="0" t="n">
        <f aca="false">IF(ISNUMBER(Treatments!V54),Treatments!V54,"")</f>
        <v>37112</v>
      </c>
      <c r="I86" s="0" t="s">
        <v>73</v>
      </c>
      <c r="J86" s="0" t="s">
        <v>68</v>
      </c>
      <c r="K86" s="0" t="s">
        <v>22</v>
      </c>
      <c r="L86" s="0" t="s">
        <v>92</v>
      </c>
      <c r="M86" s="0" t="n">
        <f aca="false">IF(ISNUMBER(SEARCH("|"&amp;$C$7&amp;"|",L86)),45,IF(ISNUMBER(SEARCH("|All|",L86)),18,0))</f>
        <v>45</v>
      </c>
      <c r="N86" s="0" t="n">
        <f aca="false">IF(OR($C$4="Any",I86="All"),12,IF(ISNUMBER(SEARCH($C$4,I86)),12,0))</f>
        <v>12</v>
      </c>
      <c r="O86" s="0" t="n">
        <f aca="false">IF(OR($C$5="Any",J86="Any",J86=$C$5),13,0)</f>
        <v>13</v>
      </c>
      <c r="P86" s="0" t="n">
        <f aca="false">IF(OR($C$6="Any",K86="Any",K86=$C$6),10,0)</f>
        <v>10</v>
      </c>
      <c r="Q86" s="0" t="n">
        <f aca="false">IF($C$8="",4,IF(AND(ISNUMBER(G86),ISNUMBER(H86)),IF(AND($C$8&gt;=G86,$C$8&lt;=H86),7,0),4))</f>
        <v>4</v>
      </c>
      <c r="R86" s="0" t="n">
        <f aca="false">M86+N86+O86+P86+Q86+V86+Y86</f>
        <v>97</v>
      </c>
      <c r="S86" s="0" t="n">
        <f aca="false">IF(OR(M86=0,W86=0),-A86,R86*100+D86+F86*0.5-A86*0.001)</f>
        <v>9744.448</v>
      </c>
      <c r="T86" s="0" t="str">
        <f aca="false">Treatments!M54</f>
        <v>Added  </v>
      </c>
      <c r="U86" s="0" t="s">
        <v>70</v>
      </c>
      <c r="V86" s="0" t="n">
        <f aca="false">IF(OR($C$11="Any",U86="Any",U86=$C$11),8,0)</f>
        <v>8</v>
      </c>
      <c r="W86" s="0" t="n">
        <f aca="false">IF(LEFT(Treatments!AD54,3)="Yes",1,0)</f>
        <v>1</v>
      </c>
      <c r="X86" s="0" t="str">
        <f aca="false">Treatments!AE54</f>
        <v>All crashes</v>
      </c>
      <c r="Y86" s="0" t="n">
        <f aca="false">IF($C$12="Any",5,IF($C$12=X86,5,IF(AND($C$12="Fatal &amp; injury only",X86="All crashes"),3,0)))</f>
        <v>5</v>
      </c>
      <c r="Z86" s="0" t="str">
        <f aca="false">Treatments!AE54&amp;" / "&amp;Treatments!AF54</f>
        <v>All crashes / Only: Run off road,Truck related</v>
      </c>
      <c r="AA86" s="0" t="str">
        <f aca="false">IF(OR(Treatments!AH54="Overstates",Treatments!AH54="Check"),UPPER(Treatments!AH54)&amp;": "&amp;Treatments!AI54&amp;". ","")&amp;IF(Treatments!AG54="","",Treatments!AG54)</f>
        <v>Study roads: Principal Arterial Other Freeways and Expressways. Not for collectors or locals (team). AADT tested: 6,777-37,112.</v>
      </c>
    </row>
    <row r="87" customFormat="false" ht="12.75" hidden="true" customHeight="false" outlineLevel="0" collapsed="false">
      <c r="A87" s="0" t="n">
        <v>53</v>
      </c>
      <c r="B87" s="0" t="str">
        <f aca="false">Treatments!A55</f>
        <v>Install Median Barrier</v>
      </c>
      <c r="C87" s="0" t="str">
        <f aca="false">Treatments!B55</f>
        <v>CM: Median Barriers</v>
      </c>
      <c r="D87" s="0" t="n">
        <f aca="false">Treatments!Q55</f>
        <v>97</v>
      </c>
      <c r="E87" s="0" t="n">
        <f aca="false">Treatments!P55</f>
        <v>0.03</v>
      </c>
      <c r="F87" s="0" t="n">
        <f aca="false">IF(ISNUMBER(Treatments!N55),Treatments!N55,0)</f>
        <v>3</v>
      </c>
      <c r="G87" s="0" t="str">
        <f aca="false">IF(ISNUMBER(Treatments!U55),Treatments!U55,"")</f>
        <v/>
      </c>
      <c r="H87" s="0" t="str">
        <f aca="false">IF(ISNUMBER(Treatments!V55),Treatments!V55,"")</f>
        <v/>
      </c>
      <c r="I87" s="0" t="s">
        <v>73</v>
      </c>
      <c r="J87" s="0" t="s">
        <v>68</v>
      </c>
      <c r="K87" s="0" t="s">
        <v>22</v>
      </c>
      <c r="L87" s="0" t="s">
        <v>91</v>
      </c>
      <c r="M87" s="0" t="n">
        <f aca="false">IF(ISNUMBER(SEARCH("|"&amp;$C$7&amp;"|",L87)),45,IF(ISNUMBER(SEARCH("|All|",L87)),18,0))</f>
        <v>45</v>
      </c>
      <c r="N87" s="0" t="n">
        <f aca="false">IF(OR($C$4="Any",I87="All"),12,IF(ISNUMBER(SEARCH($C$4,I87)),12,0))</f>
        <v>12</v>
      </c>
      <c r="O87" s="0" t="n">
        <f aca="false">IF(OR($C$5="Any",J87="Any",J87=$C$5),13,0)</f>
        <v>13</v>
      </c>
      <c r="P87" s="0" t="n">
        <f aca="false">IF(OR($C$6="Any",K87="Any",K87=$C$6),10,0)</f>
        <v>10</v>
      </c>
      <c r="Q87" s="0" t="n">
        <f aca="false">IF($C$8="",4,IF(AND(ISNUMBER(G87),ISNUMBER(H87)),IF(AND($C$8&gt;=G87,$C$8&lt;=H87),7,0),4))</f>
        <v>4</v>
      </c>
      <c r="R87" s="0" t="n">
        <f aca="false">M87+N87+O87+P87+Q87+V87+Y87</f>
        <v>97</v>
      </c>
      <c r="S87" s="0" t="n">
        <f aca="false">IF(OR(M87=0,W87=0),-A87,R87*100+D87+F87*0.5-A87*0.001)</f>
        <v>9798.447</v>
      </c>
      <c r="T87" s="0" t="str">
        <f aca="false">Treatments!M55</f>
        <v>Original </v>
      </c>
      <c r="U87" s="0" t="s">
        <v>70</v>
      </c>
      <c r="V87" s="0" t="n">
        <f aca="false">IF(OR($C$11="Any",U87="Any",U87=$C$11),8,0)</f>
        <v>8</v>
      </c>
      <c r="W87" s="0" t="n">
        <f aca="false">IF(LEFT(Treatments!AD55,3)="Yes",1,0)</f>
        <v>1</v>
      </c>
      <c r="X87" s="0" t="str">
        <f aca="false">Treatments!AE55</f>
        <v>All crashes</v>
      </c>
      <c r="Y87" s="0" t="n">
        <f aca="false">IF($C$12="Any",5,IF($C$12=X87,5,IF(AND($C$12="Fatal &amp; injury only",X87="All crashes"),3,0)))</f>
        <v>5</v>
      </c>
      <c r="Z87" s="0" t="str">
        <f aca="false">Treatments!AE55&amp;" / "&amp;Treatments!AF55</f>
        <v>All crashes / Only: Cross median</v>
      </c>
      <c r="AA87" s="0" t="str">
        <f aca="false">IF(OR(Treatments!AH55="Overstates",Treatments!AH55="Check"),UPPER(Treatments!AH55)&amp;": "&amp;Treatments!AI55&amp;". ","")&amp;IF(Treatments!AG55="","",Treatments!AG55)</f>
        <v>OVERSTATES: Cross-median crashes only; criteria also has median rollovers and fixed objects. Study roads: Principal Arterial Other Freeways and Expressways. Not for collectors or locals (team). No AADT range in the study.</v>
      </c>
    </row>
    <row r="88" customFormat="false" ht="12.75" hidden="true" customHeight="false" outlineLevel="0" collapsed="false">
      <c r="A88" s="0" t="n">
        <v>54</v>
      </c>
      <c r="B88" s="0" t="str">
        <f aca="false">Treatments!A56</f>
        <v>Install Cable Median Barrier (High Tension)</v>
      </c>
      <c r="C88" s="0" t="str">
        <f aca="false">Treatments!B56</f>
        <v>CM: Median Barriers</v>
      </c>
      <c r="D88" s="0" t="n">
        <f aca="false">Treatments!Q56</f>
        <v>53</v>
      </c>
      <c r="E88" s="0" t="n">
        <f aca="false">Treatments!P56</f>
        <v>0.47</v>
      </c>
      <c r="F88" s="0" t="n">
        <f aca="false">IF(ISNUMBER(Treatments!N56),Treatments!N56,0)</f>
        <v>4</v>
      </c>
      <c r="G88" s="0" t="n">
        <f aca="false">IF(ISNUMBER(Treatments!U56),Treatments!U56,"")</f>
        <v>1508</v>
      </c>
      <c r="H88" s="0" t="n">
        <f aca="false">IF(ISNUMBER(Treatments!V56),Treatments!V56,"")</f>
        <v>99850</v>
      </c>
      <c r="I88" s="0" t="s">
        <v>72</v>
      </c>
      <c r="J88" s="0" t="s">
        <v>68</v>
      </c>
      <c r="K88" s="0" t="s">
        <v>22</v>
      </c>
      <c r="L88" s="0" t="s">
        <v>91</v>
      </c>
      <c r="M88" s="0" t="n">
        <f aca="false">IF(ISNUMBER(SEARCH("|"&amp;$C$7&amp;"|",L88)),45,IF(ISNUMBER(SEARCH("|All|",L88)),18,0))</f>
        <v>45</v>
      </c>
      <c r="N88" s="0" t="n">
        <f aca="false">IF(OR($C$4="Any",I88="All"),12,IF(ISNUMBER(SEARCH($C$4,I88)),12,0))</f>
        <v>12</v>
      </c>
      <c r="O88" s="0" t="n">
        <f aca="false">IF(OR($C$5="Any",J88="Any",J88=$C$5),13,0)</f>
        <v>13</v>
      </c>
      <c r="P88" s="0" t="n">
        <f aca="false">IF(OR($C$6="Any",K88="Any",K88=$C$6),10,0)</f>
        <v>10</v>
      </c>
      <c r="Q88" s="0" t="n">
        <f aca="false">IF($C$8="",4,IF(AND(ISNUMBER(G88),ISNUMBER(H88)),IF(AND($C$8&gt;=G88,$C$8&lt;=H88),7,0),4))</f>
        <v>4</v>
      </c>
      <c r="R88" s="0" t="n">
        <f aca="false">M88+N88+O88+P88+Q88+V88+Y88</f>
        <v>97</v>
      </c>
      <c r="S88" s="0" t="n">
        <f aca="false">IF(OR(M88=0,W88=0),-A88,R88*100+D88+F88*0.5-A88*0.001)</f>
        <v>9754.946</v>
      </c>
      <c r="T88" s="0" t="str">
        <f aca="false">Treatments!M56</f>
        <v>Added  </v>
      </c>
      <c r="U88" s="0" t="s">
        <v>70</v>
      </c>
      <c r="V88" s="0" t="n">
        <f aca="false">IF(OR($C$11="Any",U88="Any",U88=$C$11),8,0)</f>
        <v>8</v>
      </c>
      <c r="W88" s="0" t="n">
        <f aca="false">IF(LEFT(Treatments!AD56,3)="Yes",1,0)</f>
        <v>1</v>
      </c>
      <c r="X88" s="0" t="str">
        <f aca="false">Treatments!AE56</f>
        <v>Fatal &amp; injury only</v>
      </c>
      <c r="Y88" s="0" t="n">
        <f aca="false">IF($C$12="Any",5,IF($C$12=X88,5,IF(AND($C$12="Fatal &amp; injury only",X88="All crashes"),3,0)))</f>
        <v>5</v>
      </c>
      <c r="Z88" s="0" t="str">
        <f aca="false">Treatments!AE56&amp;" / "&amp;Treatments!AF56</f>
        <v>Fatal &amp; injury only / Only: Other</v>
      </c>
      <c r="AA88" s="0" t="str">
        <f aca="false">IF(OR(Treatments!AH56="Overstates",Treatments!AH56="Check"),UPPER(Treatments!AH56)&amp;": "&amp;Treatments!AI56&amp;". ","")&amp;IF(Treatments!AG56="","",Treatments!AG56)</f>
        <v>CHECK: Study's 'target crashes' not defined in the Clearinghouse entry. Study roads: Principal Arterial Other Freeways and Expressways. Not for collectors or locals (team). AADT tested: 1,508-99,850.</v>
      </c>
    </row>
    <row r="89" customFormat="false" ht="12.75" hidden="true" customHeight="false" outlineLevel="0" collapsed="false">
      <c r="A89" s="0" t="n">
        <v>55</v>
      </c>
      <c r="B89" s="0" t="str">
        <f aca="false">Treatments!A57</f>
        <v>Flatten Sideslope From 1V:3H To 1V:4H</v>
      </c>
      <c r="C89" s="0" t="str">
        <f aca="false">Treatments!B57</f>
        <v>CM: Roadside Design Improvements at Curves</v>
      </c>
      <c r="D89" s="0" t="n">
        <f aca="false">Treatments!Q57</f>
        <v>8</v>
      </c>
      <c r="E89" s="0" t="n">
        <f aca="false">Treatments!P57</f>
        <v>0.92</v>
      </c>
      <c r="F89" s="0" t="n">
        <f aca="false">IF(ISNUMBER(Treatments!N57),Treatments!N57,0)</f>
        <v>0</v>
      </c>
      <c r="G89" s="0" t="str">
        <f aca="false">IF(ISNUMBER(Treatments!U57),Treatments!U57,"")</f>
        <v/>
      </c>
      <c r="H89" s="0" t="str">
        <f aca="false">IF(ISNUMBER(Treatments!V57),Treatments!V57,"")</f>
        <v/>
      </c>
      <c r="I89" s="0" t="s">
        <v>73</v>
      </c>
      <c r="J89" s="0" t="s">
        <v>68</v>
      </c>
      <c r="K89" s="0" t="s">
        <v>22</v>
      </c>
      <c r="L89" s="0" t="s">
        <v>92</v>
      </c>
      <c r="M89" s="0" t="n">
        <f aca="false">IF(ISNUMBER(SEARCH("|"&amp;$C$7&amp;"|",L89)),45,IF(ISNUMBER(SEARCH("|All|",L89)),18,0))</f>
        <v>45</v>
      </c>
      <c r="N89" s="0" t="n">
        <f aca="false">IF(OR($C$4="Any",I89="All"),12,IF(ISNUMBER(SEARCH($C$4,I89)),12,0))</f>
        <v>12</v>
      </c>
      <c r="O89" s="0" t="n">
        <f aca="false">IF(OR($C$5="Any",J89="Any",J89=$C$5),13,0)</f>
        <v>13</v>
      </c>
      <c r="P89" s="0" t="n">
        <f aca="false">IF(OR($C$6="Any",K89="Any",K89=$C$6),10,0)</f>
        <v>10</v>
      </c>
      <c r="Q89" s="0" t="n">
        <f aca="false">IF($C$8="",4,IF(AND(ISNUMBER(G89),ISNUMBER(H89)),IF(AND($C$8&gt;=G89,$C$8&lt;=H89),7,0),4))</f>
        <v>4</v>
      </c>
      <c r="R89" s="0" t="n">
        <f aca="false">M89+N89+O89+P89+Q89+V89+Y89</f>
        <v>97</v>
      </c>
      <c r="S89" s="0" t="n">
        <f aca="false">IF(OR(M89=0,W89=0),-A89,R89*100+D89+F89*0.5-A89*0.001)</f>
        <v>9707.945</v>
      </c>
      <c r="T89" s="0" t="str">
        <f aca="false">Treatments!M57</f>
        <v>Original </v>
      </c>
      <c r="U89" s="0" t="s">
        <v>71</v>
      </c>
      <c r="V89" s="0" t="n">
        <f aca="false">IF(OR($C$11="Any",U89="Any",U89=$C$11),8,0)</f>
        <v>8</v>
      </c>
      <c r="W89" s="0" t="n">
        <f aca="false">IF(LEFT(Treatments!AD57,3)="Yes",1,0)</f>
        <v>1</v>
      </c>
      <c r="X89" s="0" t="str">
        <f aca="false">Treatments!AE57</f>
        <v>Not reported</v>
      </c>
      <c r="Y89" s="0" t="n">
        <f aca="false">IF($C$12="Any",5,IF($C$12=X89,5,IF(AND($C$12="Fatal &amp; injury only",X89="All crashes"),3,0)))</f>
        <v>5</v>
      </c>
      <c r="Z89" s="0" t="str">
        <f aca="false">Treatments!AE57&amp;" / "&amp;Treatments!AF57</f>
        <v>Not reported / Only: Single vehicle</v>
      </c>
      <c r="AA89" s="0" t="str">
        <f aca="false">IF(OR(Treatments!AH57="Overstates",Treatments!AH57="Check"),UPPER(Treatments!AH57)&amp;": "&amp;Treatments!AI57&amp;". ","")&amp;IF(Treatments!AG57="","",Treatments!AG57)</f>
        <v>No AADT range in the study.</v>
      </c>
    </row>
    <row r="90" customFormat="false" ht="12.75" hidden="true" customHeight="false" outlineLevel="0" collapsed="false">
      <c r="A90" s="0" t="n">
        <v>56</v>
      </c>
      <c r="B90" s="0" t="str">
        <f aca="false">Treatments!A58</f>
        <v>Flatten Sideslope From 1V:4H To 1V:6H</v>
      </c>
      <c r="C90" s="0" t="str">
        <f aca="false">Treatments!B58</f>
        <v>CM: Roadside Design Improvements at Curves</v>
      </c>
      <c r="D90" s="0" t="n">
        <f aca="false">Treatments!Q58</f>
        <v>12</v>
      </c>
      <c r="E90" s="0" t="n">
        <f aca="false">Treatments!P58</f>
        <v>0.88</v>
      </c>
      <c r="F90" s="0" t="n">
        <f aca="false">IF(ISNUMBER(Treatments!N58),Treatments!N58,0)</f>
        <v>0</v>
      </c>
      <c r="G90" s="0" t="str">
        <f aca="false">IF(ISNUMBER(Treatments!U58),Treatments!U58,"")</f>
        <v/>
      </c>
      <c r="H90" s="0" t="str">
        <f aca="false">IF(ISNUMBER(Treatments!V58),Treatments!V58,"")</f>
        <v/>
      </c>
      <c r="I90" s="0" t="s">
        <v>73</v>
      </c>
      <c r="J90" s="0" t="s">
        <v>68</v>
      </c>
      <c r="K90" s="0" t="s">
        <v>22</v>
      </c>
      <c r="L90" s="0" t="s">
        <v>92</v>
      </c>
      <c r="M90" s="0" t="n">
        <f aca="false">IF(ISNUMBER(SEARCH("|"&amp;$C$7&amp;"|",L90)),45,IF(ISNUMBER(SEARCH("|All|",L90)),18,0))</f>
        <v>45</v>
      </c>
      <c r="N90" s="0" t="n">
        <f aca="false">IF(OR($C$4="Any",I90="All"),12,IF(ISNUMBER(SEARCH($C$4,I90)),12,0))</f>
        <v>12</v>
      </c>
      <c r="O90" s="0" t="n">
        <f aca="false">IF(OR($C$5="Any",J90="Any",J90=$C$5),13,0)</f>
        <v>13</v>
      </c>
      <c r="P90" s="0" t="n">
        <f aca="false">IF(OR($C$6="Any",K90="Any",K90=$C$6),10,0)</f>
        <v>10</v>
      </c>
      <c r="Q90" s="0" t="n">
        <f aca="false">IF($C$8="",4,IF(AND(ISNUMBER(G90),ISNUMBER(H90)),IF(AND($C$8&gt;=G90,$C$8&lt;=H90),7,0),4))</f>
        <v>4</v>
      </c>
      <c r="R90" s="0" t="n">
        <f aca="false">M90+N90+O90+P90+Q90+V90+Y90</f>
        <v>97</v>
      </c>
      <c r="S90" s="0" t="n">
        <f aca="false">IF(OR(M90=0,W90=0),-A90,R90*100+D90+F90*0.5-A90*0.001)</f>
        <v>9711.944</v>
      </c>
      <c r="T90" s="0" t="str">
        <f aca="false">Treatments!M58</f>
        <v>Original </v>
      </c>
      <c r="U90" s="0" t="s">
        <v>71</v>
      </c>
      <c r="V90" s="0" t="n">
        <f aca="false">IF(OR($C$11="Any",U90="Any",U90=$C$11),8,0)</f>
        <v>8</v>
      </c>
      <c r="W90" s="0" t="n">
        <f aca="false">IF(LEFT(Treatments!AD58,3)="Yes",1,0)</f>
        <v>1</v>
      </c>
      <c r="X90" s="0" t="str">
        <f aca="false">Treatments!AE58</f>
        <v>Not reported</v>
      </c>
      <c r="Y90" s="0" t="n">
        <f aca="false">IF($C$12="Any",5,IF($C$12=X90,5,IF(AND($C$12="Fatal &amp; injury only",X90="All crashes"),3,0)))</f>
        <v>5</v>
      </c>
      <c r="Z90" s="0" t="str">
        <f aca="false">Treatments!AE58&amp;" / "&amp;Treatments!AF58</f>
        <v>Not reported / Only: Single vehicle</v>
      </c>
      <c r="AA90" s="0" t="str">
        <f aca="false">IF(OR(Treatments!AH58="Overstates",Treatments!AH58="Check"),UPPER(Treatments!AH58)&amp;": "&amp;Treatments!AI58&amp;". ","")&amp;IF(Treatments!AG58="","",Treatments!AG58)</f>
        <v>No AADT range in the study.</v>
      </c>
    </row>
    <row r="91" customFormat="false" ht="12.75" hidden="true" customHeight="false" outlineLevel="0" collapsed="false">
      <c r="A91" s="0" t="n">
        <v>57</v>
      </c>
      <c r="B91" s="0" t="str">
        <f aca="false">Treatments!A59</f>
        <v>Flatten Side Slopes</v>
      </c>
      <c r="C91" s="0" t="str">
        <f aca="false">Treatments!B59</f>
        <v>CM: Roadside Design Improvements at Curves</v>
      </c>
      <c r="D91" s="0" t="n">
        <f aca="false">Treatments!Q59</f>
        <v>14.2</v>
      </c>
      <c r="E91" s="0" t="n">
        <f aca="false">Treatments!P59</f>
        <v>0.858</v>
      </c>
      <c r="F91" s="0" t="n">
        <f aca="false">IF(ISNUMBER(Treatments!N59),Treatments!N59,0)</f>
        <v>4</v>
      </c>
      <c r="G91" s="0" t="str">
        <f aca="false">IF(ISNUMBER(Treatments!U59),Treatments!U59,"")</f>
        <v/>
      </c>
      <c r="H91" s="0" t="str">
        <f aca="false">IF(ISNUMBER(Treatments!V59),Treatments!V59,"")</f>
        <v/>
      </c>
      <c r="I91" s="0" t="s">
        <v>73</v>
      </c>
      <c r="J91" s="0" t="s">
        <v>68</v>
      </c>
      <c r="K91" s="0" t="s">
        <v>22</v>
      </c>
      <c r="L91" s="0" t="s">
        <v>92</v>
      </c>
      <c r="M91" s="0" t="n">
        <f aca="false">IF(ISNUMBER(SEARCH("|"&amp;$C$7&amp;"|",L91)),45,IF(ISNUMBER(SEARCH("|All|",L91)),18,0))</f>
        <v>45</v>
      </c>
      <c r="N91" s="0" t="n">
        <f aca="false">IF(OR($C$4="Any",I91="All"),12,IF(ISNUMBER(SEARCH($C$4,I91)),12,0))</f>
        <v>12</v>
      </c>
      <c r="O91" s="0" t="n">
        <f aca="false">IF(OR($C$5="Any",J91="Any",J91=$C$5),13,0)</f>
        <v>13</v>
      </c>
      <c r="P91" s="0" t="n">
        <f aca="false">IF(OR($C$6="Any",K91="Any",K91=$C$6),10,0)</f>
        <v>10</v>
      </c>
      <c r="Q91" s="0" t="n">
        <f aca="false">IF($C$8="",4,IF(AND(ISNUMBER(G91),ISNUMBER(H91)),IF(AND($C$8&gt;=G91,$C$8&lt;=H91),7,0),4))</f>
        <v>4</v>
      </c>
      <c r="R91" s="0" t="n">
        <f aca="false">M91+N91+O91+P91+Q91+V91+Y91</f>
        <v>97</v>
      </c>
      <c r="S91" s="0" t="n">
        <f aca="false">IF(OR(M91=0,W91=0),-A91,R91*100+D91+F91*0.5-A91*0.001)</f>
        <v>9716.143</v>
      </c>
      <c r="T91" s="0" t="str">
        <f aca="false">Treatments!M59</f>
        <v>Added  </v>
      </c>
      <c r="U91" s="0" t="s">
        <v>70</v>
      </c>
      <c r="V91" s="0" t="n">
        <f aca="false">IF(OR($C$11="Any",U91="Any",U91=$C$11),8,0)</f>
        <v>8</v>
      </c>
      <c r="W91" s="0" t="n">
        <f aca="false">IF(LEFT(Treatments!AD59,3)="Yes",1,0)</f>
        <v>1</v>
      </c>
      <c r="X91" s="0" t="str">
        <f aca="false">Treatments!AE59</f>
        <v>Fatal &amp; injury only</v>
      </c>
      <c r="Y91" s="0" t="n">
        <f aca="false">IF($C$12="Any",5,IF($C$12=X91,5,IF(AND($C$12="Fatal &amp; injury only",X91="All crashes"),3,0)))</f>
        <v>5</v>
      </c>
      <c r="Z91" s="0" t="str">
        <f aca="false">Treatments!AE59&amp;" / "&amp;Treatments!AF59</f>
        <v>Fatal &amp; injury only / Only: Other</v>
      </c>
      <c r="AA91" s="0" t="str">
        <f aca="false">IF(OR(Treatments!AH59="Overstates",Treatments!AH59="Check"),UPPER(Treatments!AH59)&amp;": "&amp;Treatments!AI59&amp;". ","")&amp;IF(Treatments!AG59="","",Treatments!AG59)</f>
        <v>CHECK: Median slope on freeways, not roadside at curves. Study roads: Principal Arterial Other Freeways and Expressways. Not for collectors or locals (team). No AADT range in the study.</v>
      </c>
    </row>
    <row r="92" customFormat="false" ht="12.75" hidden="true" customHeight="false" outlineLevel="0" collapsed="false">
      <c r="A92" s="0" t="n">
        <v>58</v>
      </c>
      <c r="B92" s="0" t="str">
        <f aca="false">Treatments!A60</f>
        <v>Install W-Beam Guardrail</v>
      </c>
      <c r="C92" s="0" t="str">
        <f aca="false">Treatments!B60</f>
        <v>CM: Roadside Barriers (Guardrail)</v>
      </c>
      <c r="D92" s="0" t="n">
        <f aca="false">Treatments!Q60</f>
        <v>47</v>
      </c>
      <c r="E92" s="0" t="n">
        <f aca="false">Treatments!P60</f>
        <v>0.53</v>
      </c>
      <c r="F92" s="0" t="n">
        <f aca="false">IF(ISNUMBER(Treatments!N60),Treatments!N60,0)</f>
        <v>4</v>
      </c>
      <c r="G92" s="0" t="n">
        <f aca="false">IF(ISNUMBER(Treatments!U60),Treatments!U60,"")</f>
        <v>35000</v>
      </c>
      <c r="H92" s="0" t="n">
        <f aca="false">IF(ISNUMBER(Treatments!V60),Treatments!V60,"")</f>
        <v>104600</v>
      </c>
      <c r="I92" s="0" t="s">
        <v>72</v>
      </c>
      <c r="J92" s="0" t="s">
        <v>68</v>
      </c>
      <c r="K92" s="0" t="s">
        <v>22</v>
      </c>
      <c r="L92" s="0" t="s">
        <v>88</v>
      </c>
      <c r="M92" s="0" t="n">
        <f aca="false">IF(ISNUMBER(SEARCH("|"&amp;$C$7&amp;"|",L92)),45,IF(ISNUMBER(SEARCH("|All|",L92)),18,0))</f>
        <v>45</v>
      </c>
      <c r="N92" s="0" t="n">
        <f aca="false">IF(OR($C$4="Any",I92="All"),12,IF(ISNUMBER(SEARCH($C$4,I92)),12,0))</f>
        <v>12</v>
      </c>
      <c r="O92" s="0" t="n">
        <f aca="false">IF(OR($C$5="Any",J92="Any",J92=$C$5),13,0)</f>
        <v>13</v>
      </c>
      <c r="P92" s="0" t="n">
        <f aca="false">IF(OR($C$6="Any",K92="Any",K92=$C$6),10,0)</f>
        <v>10</v>
      </c>
      <c r="Q92" s="0" t="n">
        <f aca="false">IF($C$8="",4,IF(AND(ISNUMBER(G92),ISNUMBER(H92)),IF(AND($C$8&gt;=G92,$C$8&lt;=H92),7,0),4))</f>
        <v>4</v>
      </c>
      <c r="R92" s="0" t="n">
        <f aca="false">M92+N92+O92+P92+Q92+V92+Y92</f>
        <v>97</v>
      </c>
      <c r="S92" s="0" t="n">
        <f aca="false">IF(OR(M92=0,W92=0),-A92,R92*100+D92+F92*0.5-A92*0.001)</f>
        <v>9748.942</v>
      </c>
      <c r="T92" s="0" t="str">
        <f aca="false">Treatments!M60</f>
        <v>Added  </v>
      </c>
      <c r="U92" s="0" t="s">
        <v>70</v>
      </c>
      <c r="V92" s="0" t="n">
        <f aca="false">IF(OR($C$11="Any",U92="Any",U92=$C$11),8,0)</f>
        <v>8</v>
      </c>
      <c r="W92" s="0" t="n">
        <f aca="false">IF(LEFT(Treatments!AD60,3)="Yes",1,0)</f>
        <v>1</v>
      </c>
      <c r="X92" s="0" t="str">
        <f aca="false">Treatments!AE60</f>
        <v>Fatal &amp; injury only</v>
      </c>
      <c r="Y92" s="0" t="n">
        <f aca="false">IF($C$12="Any",5,IF($C$12=X92,5,IF(AND($C$12="Fatal &amp; injury only",X92="All crashes"),3,0)))</f>
        <v>5</v>
      </c>
      <c r="Z92" s="0" t="str">
        <f aca="false">Treatments!AE60&amp;" / "&amp;Treatments!AF60</f>
        <v>Fatal &amp; injury only / Only: Nighttime,Run off road</v>
      </c>
      <c r="AA92" s="0" t="str">
        <f aca="false">IF(OR(Treatments!AH60="Overstates",Treatments!AH60="Check"),UPPER(Treatments!AH60)&amp;": "&amp;Treatments!AI60&amp;". ","")&amp;IF(Treatments!AG60="","",Treatments!AG60)</f>
        <v>OVERSTATES: Night run-off-road only. Study roads: Principal Arterial Other Freeways and Expressways. Not for collectors or locals (team). AADT tested: 35,000-104,600.</v>
      </c>
    </row>
    <row r="93" customFormat="false" ht="12.75" hidden="true" customHeight="false" outlineLevel="0" collapsed="false">
      <c r="A93" s="0" t="n">
        <v>59</v>
      </c>
      <c r="B93" s="0" t="str">
        <f aca="false">Treatments!A61</f>
        <v>Install W-Beam Guardrail Or Concrete Barrier</v>
      </c>
      <c r="C93" s="0" t="str">
        <f aca="false">Treatments!B61</f>
        <v>CM: Roadside Barriers (Guardrail)</v>
      </c>
      <c r="D93" s="0" t="n">
        <f aca="false">Treatments!Q61</f>
        <v>40</v>
      </c>
      <c r="E93" s="0" t="n">
        <f aca="false">Treatments!P61</f>
        <v>0.6</v>
      </c>
      <c r="F93" s="0" t="n">
        <f aca="false">IF(ISNUMBER(Treatments!N61),Treatments!N61,0)</f>
        <v>4</v>
      </c>
      <c r="G93" s="0" t="n">
        <f aca="false">IF(ISNUMBER(Treatments!U61),Treatments!U61,"")</f>
        <v>35000</v>
      </c>
      <c r="H93" s="0" t="n">
        <f aca="false">IF(ISNUMBER(Treatments!V61),Treatments!V61,"")</f>
        <v>104600</v>
      </c>
      <c r="I93" s="0" t="s">
        <v>72</v>
      </c>
      <c r="J93" s="0" t="s">
        <v>68</v>
      </c>
      <c r="K93" s="0" t="s">
        <v>22</v>
      </c>
      <c r="L93" s="0" t="s">
        <v>88</v>
      </c>
      <c r="M93" s="0" t="n">
        <f aca="false">IF(ISNUMBER(SEARCH("|"&amp;$C$7&amp;"|",L93)),45,IF(ISNUMBER(SEARCH("|All|",L93)),18,0))</f>
        <v>45</v>
      </c>
      <c r="N93" s="0" t="n">
        <f aca="false">IF(OR($C$4="Any",I93="All"),12,IF(ISNUMBER(SEARCH($C$4,I93)),12,0))</f>
        <v>12</v>
      </c>
      <c r="O93" s="0" t="n">
        <f aca="false">IF(OR($C$5="Any",J93="Any",J93=$C$5),13,0)</f>
        <v>13</v>
      </c>
      <c r="P93" s="0" t="n">
        <f aca="false">IF(OR($C$6="Any",K93="Any",K93=$C$6),10,0)</f>
        <v>10</v>
      </c>
      <c r="Q93" s="0" t="n">
        <f aca="false">IF($C$8="",4,IF(AND(ISNUMBER(G93),ISNUMBER(H93)),IF(AND($C$8&gt;=G93,$C$8&lt;=H93),7,0),4))</f>
        <v>4</v>
      </c>
      <c r="R93" s="0" t="n">
        <f aca="false">M93+N93+O93+P93+Q93+V93+Y93</f>
        <v>97</v>
      </c>
      <c r="S93" s="0" t="n">
        <f aca="false">IF(OR(M93=0,W93=0),-A93,R93*100+D93+F93*0.5-A93*0.001)</f>
        <v>9741.941</v>
      </c>
      <c r="T93" s="0" t="str">
        <f aca="false">Treatments!M61</f>
        <v>Added  </v>
      </c>
      <c r="U93" s="0" t="s">
        <v>70</v>
      </c>
      <c r="V93" s="0" t="n">
        <f aca="false">IF(OR($C$11="Any",U93="Any",U93=$C$11),8,0)</f>
        <v>8</v>
      </c>
      <c r="W93" s="0" t="n">
        <f aca="false">IF(LEFT(Treatments!AD61,3)="Yes",1,0)</f>
        <v>1</v>
      </c>
      <c r="X93" s="0" t="str">
        <f aca="false">Treatments!AE61</f>
        <v>Fatal &amp; injury only</v>
      </c>
      <c r="Y93" s="0" t="n">
        <f aca="false">IF($C$12="Any",5,IF($C$12=X93,5,IF(AND($C$12="Fatal &amp; injury only",X93="All crashes"),3,0)))</f>
        <v>5</v>
      </c>
      <c r="Z93" s="0" t="str">
        <f aca="false">Treatments!AE61&amp;" / "&amp;Treatments!AF61</f>
        <v>Fatal &amp; injury only / Only: Nighttime,Run off road</v>
      </c>
      <c r="AA93" s="0" t="str">
        <f aca="false">IF(OR(Treatments!AH61="Overstates",Treatments!AH61="Check"),UPPER(Treatments!AH61)&amp;": "&amp;Treatments!AI61&amp;". ","")&amp;IF(Treatments!AG61="","",Treatments!AG61)</f>
        <v>OVERSTATES: Night run-off-road only. Study roads: Principal Arterial Other Freeways and Expressways. Not for collectors or locals (team). AADT tested: 35,000-104,600.</v>
      </c>
    </row>
    <row r="94" customFormat="false" ht="12.75" hidden="true" customHeight="false" outlineLevel="0" collapsed="false">
      <c r="A94" s="0" t="n">
        <v>60</v>
      </c>
      <c r="B94" s="0" t="str">
        <f aca="false">Treatments!A62</f>
        <v>Install Safety Edge Treatment</v>
      </c>
      <c r="C94" s="0" t="str">
        <f aca="false">Treatments!B62</f>
        <v>CM: SafetyEdge℠</v>
      </c>
      <c r="D94" s="0" t="n">
        <f aca="false">Treatments!Q62</f>
        <v>10.8</v>
      </c>
      <c r="E94" s="0" t="n">
        <f aca="false">Treatments!P62</f>
        <v>0.892</v>
      </c>
      <c r="F94" s="0" t="n">
        <f aca="false">IF(ISNUMBER(Treatments!N62),Treatments!N62,0)</f>
        <v>5</v>
      </c>
      <c r="G94" s="0" t="n">
        <f aca="false">IF(ISNUMBER(Treatments!U62),Treatments!U62,"")</f>
        <v>10</v>
      </c>
      <c r="H94" s="0" t="n">
        <f aca="false">IF(ISNUMBER(Treatments!V62),Treatments!V62,"")</f>
        <v>18600</v>
      </c>
      <c r="I94" s="0" t="s">
        <v>73</v>
      </c>
      <c r="J94" s="0" t="s">
        <v>68</v>
      </c>
      <c r="K94" s="0" t="s">
        <v>22</v>
      </c>
      <c r="L94" s="0" t="s">
        <v>89</v>
      </c>
      <c r="M94" s="0" t="n">
        <f aca="false">IF(ISNUMBER(SEARCH("|"&amp;$C$7&amp;"|",L94)),45,IF(ISNUMBER(SEARCH("|All|",L94)),18,0))</f>
        <v>45</v>
      </c>
      <c r="N94" s="0" t="n">
        <f aca="false">IF(OR($C$4="Any",I94="All"),12,IF(ISNUMBER(SEARCH($C$4,I94)),12,0))</f>
        <v>12</v>
      </c>
      <c r="O94" s="0" t="n">
        <f aca="false">IF(OR($C$5="Any",J94="Any",J94=$C$5),13,0)</f>
        <v>13</v>
      </c>
      <c r="P94" s="0" t="n">
        <f aca="false">IF(OR($C$6="Any",K94="Any",K94=$C$6),10,0)</f>
        <v>10</v>
      </c>
      <c r="Q94" s="0" t="n">
        <f aca="false">IF($C$8="",4,IF(AND(ISNUMBER(G94),ISNUMBER(H94)),IF(AND($C$8&gt;=G94,$C$8&lt;=H94),7,0),4))</f>
        <v>4</v>
      </c>
      <c r="R94" s="0" t="n">
        <f aca="false">M94+N94+O94+P94+Q94+V94+Y94</f>
        <v>97</v>
      </c>
      <c r="S94" s="0" t="n">
        <f aca="false">IF(OR(M94=0,W94=0),-A94,R94*100+D94+F94*0.5-A94*0.001)</f>
        <v>9713.24</v>
      </c>
      <c r="T94" s="0" t="str">
        <f aca="false">Treatments!M62</f>
        <v>Original </v>
      </c>
      <c r="U94" s="0" t="s">
        <v>71</v>
      </c>
      <c r="V94" s="0" t="n">
        <f aca="false">IF(OR($C$11="Any",U94="Any",U94=$C$11),8,0)</f>
        <v>8</v>
      </c>
      <c r="W94" s="0" t="n">
        <f aca="false">IF(LEFT(Treatments!AD62,3)="Yes",1,0)</f>
        <v>1</v>
      </c>
      <c r="X94" s="0" t="str">
        <f aca="false">Treatments!AE62</f>
        <v>Fatal &amp; injury only</v>
      </c>
      <c r="Y94" s="0" t="n">
        <f aca="false">IF($C$12="Any",5,IF($C$12=X94,5,IF(AND($C$12="Fatal &amp; injury only",X94="All crashes"),3,0)))</f>
        <v>5</v>
      </c>
      <c r="Z94" s="0" t="str">
        <f aca="false">Treatments!AE62&amp;" / "&amp;Treatments!AF62</f>
        <v>Fatal &amp; injury only / All crash types</v>
      </c>
      <c r="AA94" s="0" t="str">
        <f aca="false">IF(OR(Treatments!AH62="Overstates",Treatments!AH62="Check"),UPPER(Treatments!AH62)&amp;": "&amp;Treatments!AI62&amp;". ","")&amp;IF(Treatments!AG62="","",Treatments!AG62)</f>
        <v>AADT tested: 10-18,600.</v>
      </c>
    </row>
    <row r="95" customFormat="false" ht="12.75" hidden="true" customHeight="false" outlineLevel="0" collapsed="false">
      <c r="A95" s="0" t="n">
        <v>61</v>
      </c>
      <c r="B95" s="0" t="str">
        <f aca="false">Treatments!A63</f>
        <v>Install Safety Edge Treatment</v>
      </c>
      <c r="C95" s="0" t="str">
        <f aca="false">Treatments!B63</f>
        <v>CM: SafetyEdge℠</v>
      </c>
      <c r="D95" s="0" t="n">
        <f aca="false">Treatments!Q63</f>
        <v>35.7</v>
      </c>
      <c r="E95" s="0" t="n">
        <f aca="false">Treatments!P63</f>
        <v>0.643</v>
      </c>
      <c r="F95" s="0" t="n">
        <f aca="false">IF(ISNUMBER(Treatments!N63),Treatments!N63,0)</f>
        <v>5</v>
      </c>
      <c r="G95" s="0" t="str">
        <f aca="false">IF(ISNUMBER(Treatments!U63),Treatments!U63,"")</f>
        <v/>
      </c>
      <c r="H95" s="0" t="str">
        <f aca="false">IF(ISNUMBER(Treatments!V63),Treatments!V63,"")</f>
        <v/>
      </c>
      <c r="I95" s="0" t="s">
        <v>73</v>
      </c>
      <c r="J95" s="0" t="s">
        <v>68</v>
      </c>
      <c r="K95" s="0" t="s">
        <v>22</v>
      </c>
      <c r="L95" s="0" t="s">
        <v>92</v>
      </c>
      <c r="M95" s="0" t="n">
        <f aca="false">IF(ISNUMBER(SEARCH("|"&amp;$C$7&amp;"|",L95)),45,IF(ISNUMBER(SEARCH("|All|",L95)),18,0))</f>
        <v>45</v>
      </c>
      <c r="N95" s="0" t="n">
        <f aca="false">IF(OR($C$4="Any",I95="All"),12,IF(ISNUMBER(SEARCH($C$4,I95)),12,0))</f>
        <v>12</v>
      </c>
      <c r="O95" s="0" t="n">
        <f aca="false">IF(OR($C$5="Any",J95="Any",J95=$C$5),13,0)</f>
        <v>13</v>
      </c>
      <c r="P95" s="0" t="n">
        <f aca="false">IF(OR($C$6="Any",K95="Any",K95=$C$6),10,0)</f>
        <v>10</v>
      </c>
      <c r="Q95" s="0" t="n">
        <f aca="false">IF($C$8="",4,IF(AND(ISNUMBER(G95),ISNUMBER(H95)),IF(AND($C$8&gt;=G95,$C$8&lt;=H95),7,0),4))</f>
        <v>4</v>
      </c>
      <c r="R95" s="0" t="n">
        <f aca="false">M95+N95+O95+P95+Q95+V95+Y95</f>
        <v>97</v>
      </c>
      <c r="S95" s="0" t="n">
        <f aca="false">IF(OR(M95=0,W95=0),-A95,R95*100+D95+F95*0.5-A95*0.001)</f>
        <v>9738.139</v>
      </c>
      <c r="T95" s="0" t="str">
        <f aca="false">Treatments!M63</f>
        <v>Added  </v>
      </c>
      <c r="U95" s="0" t="s">
        <v>22</v>
      </c>
      <c r="V95" s="0" t="n">
        <f aca="false">IF(OR($C$11="Any",U95="Any",U95=$C$11),8,0)</f>
        <v>8</v>
      </c>
      <c r="W95" s="0" t="n">
        <f aca="false">IF(LEFT(Treatments!AD63,3)="Yes",1,0)</f>
        <v>1</v>
      </c>
      <c r="X95" s="0" t="str">
        <f aca="false">Treatments!AE63</f>
        <v>All crashes</v>
      </c>
      <c r="Y95" s="0" t="n">
        <f aca="false">IF($C$12="Any",5,IF($C$12=X95,5,IF(AND($C$12="Fatal &amp; injury only",X95="All crashes"),3,0)))</f>
        <v>5</v>
      </c>
      <c r="Z95" s="0" t="str">
        <f aca="false">Treatments!AE63&amp;" / "&amp;Treatments!AF63</f>
        <v>All crashes / Only: Run off road</v>
      </c>
      <c r="AA95" s="0" t="str">
        <f aca="false">IF(OR(Treatments!AH63="Overstates",Treatments!AH63="Check"),UPPER(Treatments!AH63)&amp;": "&amp;Treatments!AI63&amp;". ","")&amp;IF(Treatments!AG63="","",Treatments!AG63)</f>
        <v>No AADT range in the study.</v>
      </c>
    </row>
    <row r="96" customFormat="false" ht="12.75" hidden="true" customHeight="false" outlineLevel="0" collapsed="false">
      <c r="A96" s="0" t="n">
        <v>62</v>
      </c>
      <c r="B96" s="0" t="str">
        <f aca="false">Treatments!A64</f>
        <v>Install Wider Edgelines (4 In To 6 In)</v>
      </c>
      <c r="C96" s="0" t="str">
        <f aca="false">Treatments!B64</f>
        <v>CM: Wider Edge Lines</v>
      </c>
      <c r="D96" s="0" t="n">
        <f aca="false">Treatments!Q64</f>
        <v>36.5</v>
      </c>
      <c r="E96" s="0" t="n">
        <f aca="false">Treatments!P64</f>
        <v>0.635</v>
      </c>
      <c r="F96" s="0" t="n">
        <f aca="false">IF(ISNUMBER(Treatments!N64),Treatments!N64,0)</f>
        <v>4</v>
      </c>
      <c r="G96" s="0" t="str">
        <f aca="false">IF(ISNUMBER(Treatments!U64),Treatments!U64,"")</f>
        <v/>
      </c>
      <c r="H96" s="0" t="str">
        <f aca="false">IF(ISNUMBER(Treatments!V64),Treatments!V64,"")</f>
        <v/>
      </c>
      <c r="I96" s="0" t="s">
        <v>73</v>
      </c>
      <c r="J96" s="0" t="s">
        <v>68</v>
      </c>
      <c r="K96" s="0" t="s">
        <v>22</v>
      </c>
      <c r="L96" s="0" t="s">
        <v>89</v>
      </c>
      <c r="M96" s="0" t="n">
        <f aca="false">IF(ISNUMBER(SEARCH("|"&amp;$C$7&amp;"|",L96)),45,IF(ISNUMBER(SEARCH("|All|",L96)),18,0))</f>
        <v>45</v>
      </c>
      <c r="N96" s="0" t="n">
        <f aca="false">IF(OR($C$4="Any",I96="All"),12,IF(ISNUMBER(SEARCH($C$4,I96)),12,0))</f>
        <v>12</v>
      </c>
      <c r="O96" s="0" t="n">
        <f aca="false">IF(OR($C$5="Any",J96="Any",J96=$C$5),13,0)</f>
        <v>13</v>
      </c>
      <c r="P96" s="0" t="n">
        <f aca="false">IF(OR($C$6="Any",K96="Any",K96=$C$6),10,0)</f>
        <v>10</v>
      </c>
      <c r="Q96" s="0" t="n">
        <f aca="false">IF($C$8="",4,IF(AND(ISNUMBER(G96),ISNUMBER(H96)),IF(AND($C$8&gt;=G96,$C$8&lt;=H96),7,0),4))</f>
        <v>4</v>
      </c>
      <c r="R96" s="0" t="n">
        <f aca="false">M96+N96+O96+P96+Q96+V96+Y96</f>
        <v>97</v>
      </c>
      <c r="S96" s="0" t="n">
        <f aca="false">IF(OR(M96=0,W96=0),-A96,R96*100+D96+F96*0.5-A96*0.001)</f>
        <v>9738.438</v>
      </c>
      <c r="T96" s="0" t="str">
        <f aca="false">Treatments!M64</f>
        <v>Original </v>
      </c>
      <c r="U96" s="0" t="s">
        <v>22</v>
      </c>
      <c r="V96" s="0" t="n">
        <f aca="false">IF(OR($C$11="Any",U96="Any",U96=$C$11),8,0)</f>
        <v>8</v>
      </c>
      <c r="W96" s="0" t="n">
        <f aca="false">IF(LEFT(Treatments!AD64,3)="Yes",1,0)</f>
        <v>1</v>
      </c>
      <c r="X96" s="0" t="str">
        <f aca="false">Treatments!AE64</f>
        <v>Fatal &amp; injury only</v>
      </c>
      <c r="Y96" s="0" t="n">
        <f aca="false">IF($C$12="Any",5,IF($C$12=X96,5,IF(AND($C$12="Fatal &amp; injury only",X96="All crashes"),3,0)))</f>
        <v>5</v>
      </c>
      <c r="Z96" s="0" t="str">
        <f aca="false">Treatments!AE64&amp;" / "&amp;Treatments!AF64</f>
        <v>Fatal &amp; injury only / All crash types</v>
      </c>
      <c r="AA96" s="0" t="str">
        <f aca="false">IF(OR(Treatments!AH64="Overstates",Treatments!AH64="Check"),UPPER(Treatments!AH64)&amp;": "&amp;Treatments!AI64&amp;". ","")&amp;IF(Treatments!AG64="","",Treatments!AG64)</f>
        <v>No AADT range in the study.</v>
      </c>
    </row>
    <row r="97" customFormat="false" ht="12.75" hidden="true" customHeight="false" outlineLevel="0" collapsed="false">
      <c r="A97" s="0" t="n">
        <v>63</v>
      </c>
      <c r="B97" s="0" t="str">
        <f aca="false">Treatments!A65</f>
        <v>Install Wider Longitudinal Pavement Markings</v>
      </c>
      <c r="C97" s="0" t="str">
        <f aca="false">Treatments!B65</f>
        <v>CM: Wider Edge Lines</v>
      </c>
      <c r="D97" s="0" t="n">
        <f aca="false">Treatments!Q65</f>
        <v>27.5</v>
      </c>
      <c r="E97" s="0" t="n">
        <f aca="false">Treatments!P65</f>
        <v>0.725</v>
      </c>
      <c r="F97" s="0" t="n">
        <f aca="false">IF(ISNUMBER(Treatments!N65),Treatments!N65,0)</f>
        <v>5</v>
      </c>
      <c r="G97" s="0" t="str">
        <f aca="false">IF(ISNUMBER(Treatments!U65),Treatments!U65,"")</f>
        <v/>
      </c>
      <c r="H97" s="0" t="str">
        <f aca="false">IF(ISNUMBER(Treatments!V65),Treatments!V65,"")</f>
        <v/>
      </c>
      <c r="I97" s="0" t="s">
        <v>73</v>
      </c>
      <c r="J97" s="0" t="s">
        <v>68</v>
      </c>
      <c r="K97" s="0" t="s">
        <v>22</v>
      </c>
      <c r="L97" s="0" t="s">
        <v>89</v>
      </c>
      <c r="M97" s="0" t="n">
        <f aca="false">IF(ISNUMBER(SEARCH("|"&amp;$C$7&amp;"|",L97)),45,IF(ISNUMBER(SEARCH("|All|",L97)),18,0))</f>
        <v>45</v>
      </c>
      <c r="N97" s="0" t="n">
        <f aca="false">IF(OR($C$4="Any",I97="All"),12,IF(ISNUMBER(SEARCH($C$4,I97)),12,0))</f>
        <v>12</v>
      </c>
      <c r="O97" s="0" t="n">
        <f aca="false">IF(OR($C$5="Any",J97="Any",J97=$C$5),13,0)</f>
        <v>13</v>
      </c>
      <c r="P97" s="0" t="n">
        <f aca="false">IF(OR($C$6="Any",K97="Any",K97=$C$6),10,0)</f>
        <v>10</v>
      </c>
      <c r="Q97" s="0" t="n">
        <f aca="false">IF($C$8="",4,IF(AND(ISNUMBER(G97),ISNUMBER(H97)),IF(AND($C$8&gt;=G97,$C$8&lt;=H97),7,0),4))</f>
        <v>4</v>
      </c>
      <c r="R97" s="0" t="n">
        <f aca="false">M97+N97+O97+P97+Q97+V97+Y97</f>
        <v>97</v>
      </c>
      <c r="S97" s="0" t="n">
        <f aca="false">IF(OR(M97=0,W97=0),-A97,R97*100+D97+F97*0.5-A97*0.001)</f>
        <v>9729.937</v>
      </c>
      <c r="T97" s="0" t="str">
        <f aca="false">Treatments!M65</f>
        <v>Added  </v>
      </c>
      <c r="U97" s="0" t="s">
        <v>22</v>
      </c>
      <c r="V97" s="0" t="n">
        <f aca="false">IF(OR($C$11="Any",U97="Any",U97=$C$11),8,0)</f>
        <v>8</v>
      </c>
      <c r="W97" s="0" t="n">
        <f aca="false">IF(LEFT(Treatments!AD65,3)="Yes",1,0)</f>
        <v>1</v>
      </c>
      <c r="X97" s="0" t="str">
        <f aca="false">Treatments!AE65</f>
        <v>All crashes</v>
      </c>
      <c r="Y97" s="0" t="n">
        <f aca="false">IF($C$12="Any",5,IF($C$12=X97,5,IF(AND($C$12="Fatal &amp; injury only",X97="All crashes"),3,0)))</f>
        <v>5</v>
      </c>
      <c r="Z97" s="0" t="str">
        <f aca="false">Treatments!AE65&amp;" / "&amp;Treatments!AF65</f>
        <v>All crashes / All crash types</v>
      </c>
      <c r="AA97" s="0" t="str">
        <f aca="false">IF(OR(Treatments!AH65="Overstates",Treatments!AH65="Check"),UPPER(Treatments!AH65)&amp;": "&amp;Treatments!AI65&amp;". ","")&amp;IF(Treatments!AG65="","",Treatments!AG65)</f>
        <v>No AADT range in the study.</v>
      </c>
    </row>
    <row r="98" customFormat="false" ht="12.75" hidden="true" customHeight="false" outlineLevel="0" collapsed="false">
      <c r="A98" s="0" t="n">
        <v>64</v>
      </c>
      <c r="B98" s="0" t="str">
        <f aca="false">Treatments!A66</f>
        <v>Install Wider Markings With Resurfacing</v>
      </c>
      <c r="C98" s="0" t="str">
        <f aca="false">Treatments!B66</f>
        <v>CM: Wider Edge Lines</v>
      </c>
      <c r="D98" s="0" t="n">
        <f aca="false">Treatments!Q66</f>
        <v>34</v>
      </c>
      <c r="E98" s="0" t="n">
        <f aca="false">Treatments!P66</f>
        <v>0.66</v>
      </c>
      <c r="F98" s="0" t="n">
        <f aca="false">IF(ISNUMBER(Treatments!N66),Treatments!N66,0)</f>
        <v>4</v>
      </c>
      <c r="G98" s="0" t="str">
        <f aca="false">IF(ISNUMBER(Treatments!U66),Treatments!U66,"")</f>
        <v/>
      </c>
      <c r="H98" s="0" t="str">
        <f aca="false">IF(ISNUMBER(Treatments!V66),Treatments!V66,"")</f>
        <v/>
      </c>
      <c r="I98" s="0" t="s">
        <v>73</v>
      </c>
      <c r="J98" s="0" t="s">
        <v>68</v>
      </c>
      <c r="K98" s="0" t="s">
        <v>22</v>
      </c>
      <c r="L98" s="0" t="s">
        <v>89</v>
      </c>
      <c r="M98" s="0" t="n">
        <f aca="false">IF(ISNUMBER(SEARCH("|"&amp;$C$7&amp;"|",L98)),45,IF(ISNUMBER(SEARCH("|All|",L98)),18,0))</f>
        <v>45</v>
      </c>
      <c r="N98" s="0" t="n">
        <f aca="false">IF(OR($C$4="Any",I98="All"),12,IF(ISNUMBER(SEARCH($C$4,I98)),12,0))</f>
        <v>12</v>
      </c>
      <c r="O98" s="0" t="n">
        <f aca="false">IF(OR($C$5="Any",J98="Any",J98=$C$5),13,0)</f>
        <v>13</v>
      </c>
      <c r="P98" s="0" t="n">
        <f aca="false">IF(OR($C$6="Any",K98="Any",K98=$C$6),10,0)</f>
        <v>10</v>
      </c>
      <c r="Q98" s="0" t="n">
        <f aca="false">IF($C$8="",4,IF(AND(ISNUMBER(G98),ISNUMBER(H98)),IF(AND($C$8&gt;=G98,$C$8&lt;=H98),7,0),4))</f>
        <v>4</v>
      </c>
      <c r="R98" s="0" t="n">
        <f aca="false">M98+N98+O98+P98+Q98+V98+Y98</f>
        <v>97</v>
      </c>
      <c r="S98" s="0" t="n">
        <f aca="false">IF(OR(M98=0,W98=0),-A98,R98*100+D98+F98*0.5-A98*0.001)</f>
        <v>9735.936</v>
      </c>
      <c r="T98" s="0" t="str">
        <f aca="false">Treatments!M66</f>
        <v>Added  </v>
      </c>
      <c r="U98" s="0" t="s">
        <v>22</v>
      </c>
      <c r="V98" s="0" t="n">
        <f aca="false">IF(OR($C$11="Any",U98="Any",U98=$C$11),8,0)</f>
        <v>8</v>
      </c>
      <c r="W98" s="0" t="n">
        <f aca="false">IF(LEFT(Treatments!AD66,3)="Yes",1,0)</f>
        <v>1</v>
      </c>
      <c r="X98" s="0" t="str">
        <f aca="false">Treatments!AE66</f>
        <v>Fatal &amp; injury only</v>
      </c>
      <c r="Y98" s="0" t="n">
        <f aca="false">IF($C$12="Any",5,IF($C$12=X98,5,IF(AND($C$12="Fatal &amp; injury only",X98="All crashes"),3,0)))</f>
        <v>5</v>
      </c>
      <c r="Z98" s="0" t="str">
        <f aca="false">Treatments!AE66&amp;" / "&amp;Treatments!AF66</f>
        <v>Fatal &amp; injury only / All crash types</v>
      </c>
      <c r="AA98" s="0" t="str">
        <f aca="false">IF(OR(Treatments!AH66="Overstates",Treatments!AH66="Check"),UPPER(Treatments!AH66)&amp;": "&amp;Treatments!AI66&amp;". ","")&amp;IF(Treatments!AG66="","",Treatments!AG66)</f>
        <v>No AADT range in the study.</v>
      </c>
    </row>
    <row r="99" customFormat="false" ht="12.75" hidden="true" customHeight="false" outlineLevel="0" collapsed="false">
      <c r="A99" s="0" t="n">
        <v>65</v>
      </c>
      <c r="B99" s="0" t="str">
        <f aca="false">Treatments!A67</f>
        <v>Install Wider Edgelines (4 In To 6 In)</v>
      </c>
      <c r="C99" s="0" t="str">
        <f aca="false">Treatments!B67</f>
        <v>CM: Wider Edge Lines</v>
      </c>
      <c r="D99" s="0" t="n">
        <f aca="false">Treatments!Q67</f>
        <v>28.6</v>
      </c>
      <c r="E99" s="0" t="n">
        <f aca="false">Treatments!P67</f>
        <v>0.714</v>
      </c>
      <c r="F99" s="0" t="n">
        <f aca="false">IF(ISNUMBER(Treatments!N67),Treatments!N67,0)</f>
        <v>4</v>
      </c>
      <c r="G99" s="0" t="str">
        <f aca="false">IF(ISNUMBER(Treatments!U67),Treatments!U67,"")</f>
        <v/>
      </c>
      <c r="H99" s="0" t="str">
        <f aca="false">IF(ISNUMBER(Treatments!V67),Treatments!V67,"")</f>
        <v/>
      </c>
      <c r="I99" s="0" t="s">
        <v>73</v>
      </c>
      <c r="J99" s="0" t="s">
        <v>68</v>
      </c>
      <c r="K99" s="0" t="s">
        <v>22</v>
      </c>
      <c r="L99" s="0" t="s">
        <v>92</v>
      </c>
      <c r="M99" s="0" t="n">
        <f aca="false">IF(ISNUMBER(SEARCH("|"&amp;$C$7&amp;"|",L99)),45,IF(ISNUMBER(SEARCH("|All|",L99)),18,0))</f>
        <v>45</v>
      </c>
      <c r="N99" s="0" t="n">
        <f aca="false">IF(OR($C$4="Any",I99="All"),12,IF(ISNUMBER(SEARCH($C$4,I99)),12,0))</f>
        <v>12</v>
      </c>
      <c r="O99" s="0" t="n">
        <f aca="false">IF(OR($C$5="Any",J99="Any",J99=$C$5),13,0)</f>
        <v>13</v>
      </c>
      <c r="P99" s="0" t="n">
        <f aca="false">IF(OR($C$6="Any",K99="Any",K99=$C$6),10,0)</f>
        <v>10</v>
      </c>
      <c r="Q99" s="0" t="n">
        <f aca="false">IF($C$8="",4,IF(AND(ISNUMBER(G99),ISNUMBER(H99)),IF(AND($C$8&gt;=G99,$C$8&lt;=H99),7,0),4))</f>
        <v>4</v>
      </c>
      <c r="R99" s="0" t="n">
        <f aca="false">M99+N99+O99+P99+Q99+V99+Y99</f>
        <v>97</v>
      </c>
      <c r="S99" s="0" t="n">
        <f aca="false">IF(OR(M99=0,W99=0),-A99,R99*100+D99+F99*0.5-A99*0.001)</f>
        <v>9730.535</v>
      </c>
      <c r="T99" s="0" t="str">
        <f aca="false">Treatments!M67</f>
        <v>Added  </v>
      </c>
      <c r="U99" s="0" t="s">
        <v>22</v>
      </c>
      <c r="V99" s="0" t="n">
        <f aca="false">IF(OR($C$11="Any",U99="Any",U99=$C$11),8,0)</f>
        <v>8</v>
      </c>
      <c r="W99" s="0" t="n">
        <f aca="false">IF(LEFT(Treatments!AD67,3)="Yes",1,0)</f>
        <v>1</v>
      </c>
      <c r="X99" s="0" t="str">
        <f aca="false">Treatments!AE67</f>
        <v>All crashes</v>
      </c>
      <c r="Y99" s="0" t="n">
        <f aca="false">IF($C$12="Any",5,IF($C$12=X99,5,IF(AND($C$12="Fatal &amp; injury only",X99="All crashes"),3,0)))</f>
        <v>5</v>
      </c>
      <c r="Z99" s="0" t="str">
        <f aca="false">Treatments!AE67&amp;" / "&amp;Treatments!AF67</f>
        <v>All crashes / Only: Day time</v>
      </c>
      <c r="AA99" s="0" t="str">
        <f aca="false">IF(OR(Treatments!AH67="Overstates",Treatments!AH67="Check"),UPPER(Treatments!AH67)&amp;": "&amp;Treatments!AI67&amp;". ","")&amp;IF(Treatments!AG67="","",Treatments!AG67)</f>
        <v>CHECK: Daytime crashes only. No AADT range in the study.</v>
      </c>
    </row>
    <row r="100" customFormat="false" ht="12.75" hidden="true" customHeight="false" outlineLevel="0" collapsed="false">
      <c r="A100" s="0" t="n">
        <v>66</v>
      </c>
      <c r="B100" s="0" t="str">
        <f aca="false">Treatments!A68</f>
        <v>Install Wider Markings Without Resurfacing</v>
      </c>
      <c r="C100" s="0" t="str">
        <f aca="false">Treatments!B68</f>
        <v>CM: Wider Edge Lines</v>
      </c>
      <c r="D100" s="0" t="n">
        <f aca="false">Treatments!Q68</f>
        <v>22</v>
      </c>
      <c r="E100" s="0" t="n">
        <f aca="false">Treatments!P68</f>
        <v>0.78</v>
      </c>
      <c r="F100" s="0" t="n">
        <f aca="false">IF(ISNUMBER(Treatments!N68),Treatments!N68,0)</f>
        <v>4</v>
      </c>
      <c r="G100" s="0" t="str">
        <f aca="false">IF(ISNUMBER(Treatments!U68),Treatments!U68,"")</f>
        <v/>
      </c>
      <c r="H100" s="0" t="str">
        <f aca="false">IF(ISNUMBER(Treatments!V68),Treatments!V68,"")</f>
        <v/>
      </c>
      <c r="I100" s="0" t="s">
        <v>73</v>
      </c>
      <c r="J100" s="0" t="s">
        <v>68</v>
      </c>
      <c r="K100" s="0" t="s">
        <v>22</v>
      </c>
      <c r="L100" s="0" t="s">
        <v>89</v>
      </c>
      <c r="M100" s="0" t="n">
        <f aca="false">IF(ISNUMBER(SEARCH("|"&amp;$C$7&amp;"|",L100)),45,IF(ISNUMBER(SEARCH("|All|",L100)),18,0))</f>
        <v>45</v>
      </c>
      <c r="N100" s="0" t="n">
        <f aca="false">IF(OR($C$4="Any",I100="All"),12,IF(ISNUMBER(SEARCH($C$4,I100)),12,0))</f>
        <v>12</v>
      </c>
      <c r="O100" s="0" t="n">
        <f aca="false">IF(OR($C$5="Any",J100="Any",J100=$C$5),13,0)</f>
        <v>13</v>
      </c>
      <c r="P100" s="0" t="n">
        <f aca="false">IF(OR($C$6="Any",K100="Any",K100=$C$6),10,0)</f>
        <v>10</v>
      </c>
      <c r="Q100" s="0" t="n">
        <f aca="false">IF($C$8="",4,IF(AND(ISNUMBER(G100),ISNUMBER(H100)),IF(AND($C$8&gt;=G100,$C$8&lt;=H100),7,0),4))</f>
        <v>4</v>
      </c>
      <c r="R100" s="0" t="n">
        <f aca="false">M100+N100+O100+P100+Q100+V100+Y100</f>
        <v>97</v>
      </c>
      <c r="S100" s="0" t="n">
        <f aca="false">IF(OR(M100=0,W100=0),-A100,R100*100+D100+F100*0.5-A100*0.001)</f>
        <v>9723.934</v>
      </c>
      <c r="T100" s="0" t="str">
        <f aca="false">Treatments!M68</f>
        <v>Added  </v>
      </c>
      <c r="U100" s="0" t="s">
        <v>70</v>
      </c>
      <c r="V100" s="0" t="n">
        <f aca="false">IF(OR($C$11="Any",U100="Any",U100=$C$11),8,0)</f>
        <v>8</v>
      </c>
      <c r="W100" s="0" t="n">
        <f aca="false">IF(LEFT(Treatments!AD68,3)="Yes",1,0)</f>
        <v>1</v>
      </c>
      <c r="X100" s="0" t="str">
        <f aca="false">Treatments!AE68</f>
        <v>Fatal &amp; injury only</v>
      </c>
      <c r="Y100" s="0" t="n">
        <f aca="false">IF($C$12="Any",5,IF($C$12=X100,5,IF(AND($C$12="Fatal &amp; injury only",X100="All crashes"),3,0)))</f>
        <v>5</v>
      </c>
      <c r="Z100" s="0" t="str">
        <f aca="false">Treatments!AE68&amp;" / "&amp;Treatments!AF68</f>
        <v>Fatal &amp; injury only / All crash types</v>
      </c>
      <c r="AA100" s="0" t="str">
        <f aca="false">IF(OR(Treatments!AH68="Overstates",Treatments!AH68="Check"),UPPER(Treatments!AH68)&amp;": "&amp;Treatments!AI68&amp;". ","")&amp;IF(Treatments!AG68="","",Treatments!AG68)</f>
        <v>Study roads: Principal Arterial Other Freeways and Expressways. Not for collectors or locals (team). No AADT range in the study.</v>
      </c>
    </row>
    <row r="101" customFormat="false" ht="12.75" hidden="true" customHeight="false" outlineLevel="0" collapsed="false">
      <c r="A101" s="0" t="n">
        <v>67</v>
      </c>
      <c r="B101" s="0" t="str">
        <f aca="false">Treatments!A69</f>
        <v>Add 3-Inch Yellow Retroreflective Sheeting To Signal Backplates</v>
      </c>
      <c r="C101" s="0" t="str">
        <f aca="false">Treatments!B69</f>
        <v>CM: Backplates with Retroreflective Borders</v>
      </c>
      <c r="D101" s="0" t="n">
        <f aca="false">Treatments!Q69</f>
        <v>15</v>
      </c>
      <c r="E101" s="0" t="n">
        <f aca="false">Treatments!P69</f>
        <v>0.85</v>
      </c>
      <c r="F101" s="0" t="n">
        <f aca="false">IF(ISNUMBER(Treatments!N69),Treatments!N69,0)</f>
        <v>4</v>
      </c>
      <c r="G101" s="0" t="str">
        <f aca="false">IF(ISNUMBER(Treatments!U69),Treatments!U69,"")</f>
        <v/>
      </c>
      <c r="H101" s="0" t="str">
        <f aca="false">IF(ISNUMBER(Treatments!V69),Treatments!V69,"")</f>
        <v/>
      </c>
      <c r="I101" s="0" t="s">
        <v>67</v>
      </c>
      <c r="J101" s="0" t="s">
        <v>80</v>
      </c>
      <c r="K101" s="0" t="s">
        <v>81</v>
      </c>
      <c r="L101" s="0" t="s">
        <v>93</v>
      </c>
      <c r="M101" s="0" t="n">
        <f aca="false">IF(ISNUMBER(SEARCH("|"&amp;$C$7&amp;"|",L101)),45,IF(ISNUMBER(SEARCH("|All|",L101)),18,0))</f>
        <v>18</v>
      </c>
      <c r="N101" s="0" t="n">
        <f aca="false">IF(OR($C$4="Any",I101="All"),12,IF(ISNUMBER(SEARCH($C$4,I101)),12,0))</f>
        <v>12</v>
      </c>
      <c r="O101" s="0" t="n">
        <f aca="false">IF(OR($C$5="Any",J101="Any",J101=$C$5),13,0)</f>
        <v>13</v>
      </c>
      <c r="P101" s="0" t="n">
        <f aca="false">IF(OR($C$6="Any",K101="Any",K101=$C$6),10,0)</f>
        <v>10</v>
      </c>
      <c r="Q101" s="0" t="n">
        <f aca="false">IF($C$8="",4,IF(AND(ISNUMBER(G101),ISNUMBER(H101)),IF(AND($C$8&gt;=G101,$C$8&lt;=H101),7,0),4))</f>
        <v>4</v>
      </c>
      <c r="R101" s="0" t="n">
        <f aca="false">M101+N101+O101+P101+Q101+V101+Y101</f>
        <v>70</v>
      </c>
      <c r="S101" s="0" t="n">
        <f aca="false">IF(OR(M101=0,W101=0),-A101,R101*100+D101+F101*0.5-A101*0.001)</f>
        <v>7016.933</v>
      </c>
      <c r="T101" s="0" t="str">
        <f aca="false">Treatments!M69</f>
        <v>Original </v>
      </c>
      <c r="U101" s="0" t="s">
        <v>22</v>
      </c>
      <c r="V101" s="0" t="n">
        <f aca="false">IF(OR($C$11="Any",U101="Any",U101=$C$11),8,0)</f>
        <v>8</v>
      </c>
      <c r="W101" s="0" t="n">
        <f aca="false">IF(LEFT(Treatments!AD69,3)="Yes",1,0)</f>
        <v>1</v>
      </c>
      <c r="X101" s="0" t="str">
        <f aca="false">Treatments!AE69</f>
        <v>All crashes</v>
      </c>
      <c r="Y101" s="0" t="n">
        <f aca="false">IF($C$12="Any",5,IF($C$12=X101,5,IF(AND($C$12="Fatal &amp; injury only",X101="All crashes"),3,0)))</f>
        <v>5</v>
      </c>
      <c r="Z101" s="0" t="str">
        <f aca="false">Treatments!AE69&amp;" / "&amp;Treatments!AF69</f>
        <v>All crashes / All crash types</v>
      </c>
      <c r="AA101" s="0" t="str">
        <f aca="false">IF(OR(Treatments!AH69="Overstates",Treatments!AH69="Check"),UPPER(Treatments!AH69)&amp;": "&amp;Treatments!AI69&amp;". ","")&amp;IF(Treatments!AG69="","",Treatments!AG69)</f>
        <v>No AADT range in the study.</v>
      </c>
    </row>
    <row r="102" customFormat="false" ht="12.75" hidden="true" customHeight="false" outlineLevel="0" collapsed="false">
      <c r="A102" s="0" t="n">
        <v>68</v>
      </c>
      <c r="B102" s="0" t="str">
        <f aca="false">Treatments!A70</f>
        <v>Reduce Driveways From 10-24 To Less Than 10 Per Mile</v>
      </c>
      <c r="C102" s="0" t="str">
        <f aca="false">Treatments!B70</f>
        <v>CM: Corridor Access Management</v>
      </c>
      <c r="D102" s="0" t="n">
        <f aca="false">Treatments!Q70</f>
        <v>25</v>
      </c>
      <c r="E102" s="0" t="n">
        <f aca="false">Treatments!P70</f>
        <v>0.75</v>
      </c>
      <c r="F102" s="0" t="n">
        <f aca="false">IF(ISNUMBER(Treatments!N70),Treatments!N70,0)</f>
        <v>3</v>
      </c>
      <c r="G102" s="0" t="str">
        <f aca="false">IF(ISNUMBER(Treatments!U70),Treatments!U70,"")</f>
        <v/>
      </c>
      <c r="H102" s="0" t="str">
        <f aca="false">IF(ISNUMBER(Treatments!V70),Treatments!V70,"")</f>
        <v/>
      </c>
      <c r="I102" s="0" t="s">
        <v>77</v>
      </c>
      <c r="J102" s="0" t="s">
        <v>68</v>
      </c>
      <c r="K102" s="0" t="s">
        <v>22</v>
      </c>
      <c r="L102" s="0" t="s">
        <v>94</v>
      </c>
      <c r="M102" s="0" t="n">
        <f aca="false">IF(ISNUMBER(SEARCH("|"&amp;$C$7&amp;"|",L102)),45,IF(ISNUMBER(SEARCH("|All|",L102)),18,0))</f>
        <v>18</v>
      </c>
      <c r="N102" s="0" t="n">
        <f aca="false">IF(OR($C$4="Any",I102="All"),12,IF(ISNUMBER(SEARCH($C$4,I102)),12,0))</f>
        <v>12</v>
      </c>
      <c r="O102" s="0" t="n">
        <f aca="false">IF(OR($C$5="Any",J102="Any",J102=$C$5),13,0)</f>
        <v>13</v>
      </c>
      <c r="P102" s="0" t="n">
        <f aca="false">IF(OR($C$6="Any",K102="Any",K102=$C$6),10,0)</f>
        <v>10</v>
      </c>
      <c r="Q102" s="0" t="n">
        <f aca="false">IF($C$8="",4,IF(AND(ISNUMBER(G102),ISNUMBER(H102)),IF(AND($C$8&gt;=G102,$C$8&lt;=H102),7,0),4))</f>
        <v>4</v>
      </c>
      <c r="R102" s="0" t="n">
        <f aca="false">M102+N102+O102+P102+Q102+V102+Y102</f>
        <v>70</v>
      </c>
      <c r="S102" s="0" t="n">
        <f aca="false">IF(OR(M102=0,W102=0),-A102,R102*100+D102+F102*0.5-A102*0.001)</f>
        <v>-68</v>
      </c>
      <c r="T102" s="0" t="str">
        <f aca="false">Treatments!M70</f>
        <v>Original </v>
      </c>
      <c r="U102" s="0" t="s">
        <v>71</v>
      </c>
      <c r="V102" s="0" t="n">
        <f aca="false">IF(OR($C$11="Any",U102="Any",U102=$C$11),8,0)</f>
        <v>8</v>
      </c>
      <c r="W102" s="0" t="n">
        <f aca="false">IF(LEFT(Treatments!AD70,3)="Yes",1,0)</f>
        <v>0</v>
      </c>
      <c r="X102" s="0" t="str">
        <f aca="false">Treatments!AE70</f>
        <v>Fatal &amp; injury only</v>
      </c>
      <c r="Y102" s="0" t="n">
        <f aca="false">IF($C$12="Any",5,IF($C$12=X102,5,IF(AND($C$12="Fatal &amp; injury only",X102="All crashes"),3,0)))</f>
        <v>5</v>
      </c>
      <c r="Z102" s="0" t="str">
        <f aca="false">Treatments!AE70&amp;" / "&amp;Treatments!AF70</f>
        <v>Fatal &amp; injury only / All crash types</v>
      </c>
      <c r="AA102" s="0" t="str">
        <f aca="false">IF(OR(Treatments!AH70="Overstates",Treatments!AH70="Check"),UPPER(Treatments!AH70)&amp;": "&amp;Treatments!AI70&amp;". ","")&amp;IF(Treatments!AG70="","",Treatments!AG70)</f>
        <v>No AADT range in the study.</v>
      </c>
    </row>
    <row r="103" customFormat="false" ht="12.75" hidden="true" customHeight="false" outlineLevel="0" collapsed="false">
      <c r="A103" s="0" t="n">
        <v>69</v>
      </c>
      <c r="B103" s="0" t="str">
        <f aca="false">Treatments!A71</f>
        <v>Reduce Driveways From 26-48 To 10-24 Per Mile</v>
      </c>
      <c r="C103" s="0" t="str">
        <f aca="false">Treatments!B71</f>
        <v>CM: Corridor Access Management</v>
      </c>
      <c r="D103" s="0" t="n">
        <f aca="false">Treatments!Q71</f>
        <v>31</v>
      </c>
      <c r="E103" s="0" t="n">
        <f aca="false">Treatments!P71</f>
        <v>0.69</v>
      </c>
      <c r="F103" s="0" t="n">
        <f aca="false">IF(ISNUMBER(Treatments!N71),Treatments!N71,0)</f>
        <v>3</v>
      </c>
      <c r="G103" s="0" t="str">
        <f aca="false">IF(ISNUMBER(Treatments!U71),Treatments!U71,"")</f>
        <v/>
      </c>
      <c r="H103" s="0" t="str">
        <f aca="false">IF(ISNUMBER(Treatments!V71),Treatments!V71,"")</f>
        <v/>
      </c>
      <c r="I103" s="0" t="s">
        <v>77</v>
      </c>
      <c r="J103" s="0" t="s">
        <v>68</v>
      </c>
      <c r="K103" s="0" t="s">
        <v>22</v>
      </c>
      <c r="L103" s="0" t="s">
        <v>94</v>
      </c>
      <c r="M103" s="0" t="n">
        <f aca="false">IF(ISNUMBER(SEARCH("|"&amp;$C$7&amp;"|",L103)),45,IF(ISNUMBER(SEARCH("|All|",L103)),18,0))</f>
        <v>18</v>
      </c>
      <c r="N103" s="0" t="n">
        <f aca="false">IF(OR($C$4="Any",I103="All"),12,IF(ISNUMBER(SEARCH($C$4,I103)),12,0))</f>
        <v>12</v>
      </c>
      <c r="O103" s="0" t="n">
        <f aca="false">IF(OR($C$5="Any",J103="Any",J103=$C$5),13,0)</f>
        <v>13</v>
      </c>
      <c r="P103" s="0" t="n">
        <f aca="false">IF(OR($C$6="Any",K103="Any",K103=$C$6),10,0)</f>
        <v>10</v>
      </c>
      <c r="Q103" s="0" t="n">
        <f aca="false">IF($C$8="",4,IF(AND(ISNUMBER(G103),ISNUMBER(H103)),IF(AND($C$8&gt;=G103,$C$8&lt;=H103),7,0),4))</f>
        <v>4</v>
      </c>
      <c r="R103" s="0" t="n">
        <f aca="false">M103+N103+O103+P103+Q103+V103+Y103</f>
        <v>70</v>
      </c>
      <c r="S103" s="0" t="n">
        <f aca="false">IF(OR(M103=0,W103=0),-A103,R103*100+D103+F103*0.5-A103*0.001)</f>
        <v>-69</v>
      </c>
      <c r="T103" s="0" t="str">
        <f aca="false">Treatments!M71</f>
        <v>Original </v>
      </c>
      <c r="U103" s="0" t="s">
        <v>71</v>
      </c>
      <c r="V103" s="0" t="n">
        <f aca="false">IF(OR($C$11="Any",U103="Any",U103=$C$11),8,0)</f>
        <v>8</v>
      </c>
      <c r="W103" s="0" t="n">
        <f aca="false">IF(LEFT(Treatments!AD71,3)="Yes",1,0)</f>
        <v>0</v>
      </c>
      <c r="X103" s="0" t="str">
        <f aca="false">Treatments!AE71</f>
        <v>Fatal &amp; injury only</v>
      </c>
      <c r="Y103" s="0" t="n">
        <f aca="false">IF($C$12="Any",5,IF($C$12=X103,5,IF(AND($C$12="Fatal &amp; injury only",X103="All crashes"),3,0)))</f>
        <v>5</v>
      </c>
      <c r="Z103" s="0" t="str">
        <f aca="false">Treatments!AE71&amp;" / "&amp;Treatments!AF71</f>
        <v>Fatal &amp; injury only / All crash types</v>
      </c>
      <c r="AA103" s="0" t="str">
        <f aca="false">IF(OR(Treatments!AH71="Overstates",Treatments!AH71="Check"),UPPER(Treatments!AH71)&amp;": "&amp;Treatments!AI71&amp;". ","")&amp;IF(Treatments!AG71="","",Treatments!AG71)</f>
        <v>No AADT range in the study.</v>
      </c>
    </row>
    <row r="104" customFormat="false" ht="12.75" hidden="true" customHeight="false" outlineLevel="0" collapsed="false">
      <c r="A104" s="0" t="n">
        <v>70</v>
      </c>
      <c r="B104" s="0" t="str">
        <f aca="false">Treatments!A72</f>
        <v>Install TWLTL (Two-Way Left Turn Lane) On Four Lane Road</v>
      </c>
      <c r="C104" s="0" t="str">
        <f aca="false">Treatments!B72</f>
        <v>CM: Corridor Access Management</v>
      </c>
      <c r="D104" s="0" t="n">
        <f aca="false">Treatments!Q72</f>
        <v>29.9</v>
      </c>
      <c r="E104" s="0" t="n">
        <f aca="false">Treatments!P72</f>
        <v>0.701</v>
      </c>
      <c r="F104" s="0" t="n">
        <f aca="false">IF(ISNUMBER(Treatments!N72),Treatments!N72,0)</f>
        <v>4</v>
      </c>
      <c r="G104" s="0" t="n">
        <f aca="false">IF(ISNUMBER(Treatments!U72),Treatments!U72,"")</f>
        <v>6800</v>
      </c>
      <c r="H104" s="0" t="n">
        <f aca="false">IF(ISNUMBER(Treatments!V72),Treatments!V72,"")</f>
        <v>22141</v>
      </c>
      <c r="I104" s="0" t="s">
        <v>67</v>
      </c>
      <c r="J104" s="0" t="s">
        <v>68</v>
      </c>
      <c r="K104" s="0" t="s">
        <v>22</v>
      </c>
      <c r="L104" s="0" t="s">
        <v>95</v>
      </c>
      <c r="M104" s="0" t="n">
        <f aca="false">IF(ISNUMBER(SEARCH("|"&amp;$C$7&amp;"|",L104)),45,IF(ISNUMBER(SEARCH("|All|",L104)),18,0))</f>
        <v>0</v>
      </c>
      <c r="N104" s="0" t="n">
        <f aca="false">IF(OR($C$4="Any",I104="All"),12,IF(ISNUMBER(SEARCH($C$4,I104)),12,0))</f>
        <v>12</v>
      </c>
      <c r="O104" s="0" t="n">
        <f aca="false">IF(OR($C$5="Any",J104="Any",J104=$C$5),13,0)</f>
        <v>13</v>
      </c>
      <c r="P104" s="0" t="n">
        <f aca="false">IF(OR($C$6="Any",K104="Any",K104=$C$6),10,0)</f>
        <v>10</v>
      </c>
      <c r="Q104" s="0" t="n">
        <f aca="false">IF($C$8="",4,IF(AND(ISNUMBER(G104),ISNUMBER(H104)),IF(AND($C$8&gt;=G104,$C$8&lt;=H104),7,0),4))</f>
        <v>4</v>
      </c>
      <c r="R104" s="0" t="n">
        <f aca="false">M104+N104+O104+P104+Q104+V104+Y104</f>
        <v>52</v>
      </c>
      <c r="S104" s="0" t="n">
        <f aca="false">IF(OR(M104=0,W104=0),-A104,R104*100+D104+F104*0.5-A104*0.001)</f>
        <v>-70</v>
      </c>
      <c r="T104" s="0" t="str">
        <f aca="false">Treatments!M72</f>
        <v>Added  </v>
      </c>
      <c r="U104" s="0" t="s">
        <v>22</v>
      </c>
      <c r="V104" s="0" t="n">
        <f aca="false">IF(OR($C$11="Any",U104="Any",U104=$C$11),8,0)</f>
        <v>8</v>
      </c>
      <c r="W104" s="0" t="n">
        <f aca="false">IF(LEFT(Treatments!AD72,3)="Yes",1,0)</f>
        <v>1</v>
      </c>
      <c r="X104" s="0" t="str">
        <f aca="false">Treatments!AE72</f>
        <v>All crashes</v>
      </c>
      <c r="Y104" s="0" t="n">
        <f aca="false">IF($C$12="Any",5,IF($C$12=X104,5,IF(AND($C$12="Fatal &amp; injury only",X104="All crashes"),3,0)))</f>
        <v>5</v>
      </c>
      <c r="Z104" s="0" t="str">
        <f aca="false">Treatments!AE72&amp;" / "&amp;Treatments!AF72</f>
        <v>All crashes / Only: Non-intersection</v>
      </c>
      <c r="AA104" s="0" t="str">
        <f aca="false">IF(OR(Treatments!AH72="Overstates",Treatments!AH72="Check"),UPPER(Treatments!AH72)&amp;": "&amp;Treatments!AI72&amp;". ","")&amp;IF(Treatments!AG72="","",Treatments!AG72)</f>
        <v>CHECK: Non-intersection crashes; criteria is intersection/driveway. AADT tested: 6,800-22,141.</v>
      </c>
    </row>
    <row r="105" customFormat="false" ht="12.75" hidden="true" customHeight="false" outlineLevel="0" collapsed="false">
      <c r="A105" s="0" t="n">
        <v>71</v>
      </c>
      <c r="B105" s="0" t="str">
        <f aca="false">Treatments!A73</f>
        <v>Introduce TWLTL (Two-Way Left Turn Lanes) On Rural Two Lane Roads</v>
      </c>
      <c r="C105" s="0" t="str">
        <f aca="false">Treatments!B73</f>
        <v>CM: Corridor Access Management</v>
      </c>
      <c r="D105" s="0" t="n">
        <f aca="false">Treatments!Q73</f>
        <v>47</v>
      </c>
      <c r="E105" s="0" t="n">
        <f aca="false">Treatments!P73</f>
        <v>0.53</v>
      </c>
      <c r="F105" s="0" t="n">
        <f aca="false">IF(ISNUMBER(Treatments!N73),Treatments!N73,0)</f>
        <v>5</v>
      </c>
      <c r="G105" s="0" t="str">
        <f aca="false">IF(ISNUMBER(Treatments!U73),Treatments!U73,"")</f>
        <v/>
      </c>
      <c r="H105" s="0" t="str">
        <f aca="false">IF(ISNUMBER(Treatments!V73),Treatments!V73,"")</f>
        <v/>
      </c>
      <c r="I105" s="0" t="s">
        <v>73</v>
      </c>
      <c r="J105" s="0" t="s">
        <v>68</v>
      </c>
      <c r="K105" s="0" t="s">
        <v>22</v>
      </c>
      <c r="L105" s="0" t="s">
        <v>95</v>
      </c>
      <c r="M105" s="0" t="n">
        <f aca="false">IF(ISNUMBER(SEARCH("|"&amp;$C$7&amp;"|",L105)),45,IF(ISNUMBER(SEARCH("|All|",L105)),18,0))</f>
        <v>0</v>
      </c>
      <c r="N105" s="0" t="n">
        <f aca="false">IF(OR($C$4="Any",I105="All"),12,IF(ISNUMBER(SEARCH($C$4,I105)),12,0))</f>
        <v>12</v>
      </c>
      <c r="O105" s="0" t="n">
        <f aca="false">IF(OR($C$5="Any",J105="Any",J105=$C$5),13,0)</f>
        <v>13</v>
      </c>
      <c r="P105" s="0" t="n">
        <f aca="false">IF(OR($C$6="Any",K105="Any",K105=$C$6),10,0)</f>
        <v>10</v>
      </c>
      <c r="Q105" s="0" t="n">
        <f aca="false">IF($C$8="",4,IF(AND(ISNUMBER(G105),ISNUMBER(H105)),IF(AND($C$8&gt;=G105,$C$8&lt;=H105),7,0),4))</f>
        <v>4</v>
      </c>
      <c r="R105" s="0" t="n">
        <f aca="false">M105+N105+O105+P105+Q105+V105+Y105</f>
        <v>52</v>
      </c>
      <c r="S105" s="0" t="n">
        <f aca="false">IF(OR(M105=0,W105=0),-A105,R105*100+D105+F105*0.5-A105*0.001)</f>
        <v>-71</v>
      </c>
      <c r="T105" s="0" t="str">
        <f aca="false">Treatments!M73</f>
        <v>Added  </v>
      </c>
      <c r="U105" s="0" t="s">
        <v>22</v>
      </c>
      <c r="V105" s="0" t="n">
        <f aca="false">IF(OR($C$11="Any",U105="Any",U105=$C$11),8,0)</f>
        <v>8</v>
      </c>
      <c r="W105" s="0" t="n">
        <f aca="false">IF(LEFT(Treatments!AD73,3)="Yes",1,0)</f>
        <v>1</v>
      </c>
      <c r="X105" s="0" t="str">
        <f aca="false">Treatments!AE73</f>
        <v>All crashes</v>
      </c>
      <c r="Y105" s="0" t="n">
        <f aca="false">IF($C$12="Any",5,IF($C$12=X105,5,IF(AND($C$12="Fatal &amp; injury only",X105="All crashes"),3,0)))</f>
        <v>5</v>
      </c>
      <c r="Z105" s="0" t="str">
        <f aca="false">Treatments!AE73&amp;" / "&amp;Treatments!AF73</f>
        <v>All crashes / Only: Rear end</v>
      </c>
      <c r="AA105" s="0" t="str">
        <f aca="false">IF(OR(Treatments!AH73="Overstates",Treatments!AH73="Check"),UPPER(Treatments!AH73)&amp;": "&amp;Treatments!AI73&amp;". ","")&amp;IF(Treatments!AG73="","",Treatments!AG73)</f>
        <v>OVERSTATES: Rear-end only. No AADT range in the study.</v>
      </c>
    </row>
    <row r="106" customFormat="false" ht="12.75" hidden="true" customHeight="false" outlineLevel="0" collapsed="false">
      <c r="A106" s="0" t="n">
        <v>72</v>
      </c>
      <c r="B106" s="0" t="str">
        <f aca="false">Treatments!A74</f>
        <v>Install TWLTL (Two-Way Left Turn Lane) On Two Lane Road</v>
      </c>
      <c r="C106" s="0" t="str">
        <f aca="false">Treatments!B74</f>
        <v>CM: Corridor Access Management</v>
      </c>
      <c r="D106" s="0" t="n">
        <f aca="false">Treatments!Q74</f>
        <v>53.1</v>
      </c>
      <c r="E106" s="0" t="n">
        <f aca="false">Treatments!P74</f>
        <v>0.469</v>
      </c>
      <c r="F106" s="0" t="n">
        <f aca="false">IF(ISNUMBER(Treatments!N74),Treatments!N74,0)</f>
        <v>4</v>
      </c>
      <c r="G106" s="0" t="str">
        <f aca="false">IF(ISNUMBER(Treatments!U74),Treatments!U74,"")</f>
        <v/>
      </c>
      <c r="H106" s="0" t="str">
        <f aca="false">IF(ISNUMBER(Treatments!V74),Treatments!V74,"")</f>
        <v/>
      </c>
      <c r="I106" s="0" t="s">
        <v>72</v>
      </c>
      <c r="J106" s="0" t="s">
        <v>68</v>
      </c>
      <c r="K106" s="0" t="s">
        <v>22</v>
      </c>
      <c r="L106" s="0" t="s">
        <v>94</v>
      </c>
      <c r="M106" s="0" t="n">
        <f aca="false">IF(ISNUMBER(SEARCH("|"&amp;$C$7&amp;"|",L106)),45,IF(ISNUMBER(SEARCH("|All|",L106)),18,0))</f>
        <v>18</v>
      </c>
      <c r="N106" s="0" t="n">
        <f aca="false">IF(OR($C$4="Any",I106="All"),12,IF(ISNUMBER(SEARCH($C$4,I106)),12,0))</f>
        <v>12</v>
      </c>
      <c r="O106" s="0" t="n">
        <f aca="false">IF(OR($C$5="Any",J106="Any",J106=$C$5),13,0)</f>
        <v>13</v>
      </c>
      <c r="P106" s="0" t="n">
        <f aca="false">IF(OR($C$6="Any",K106="Any",K106=$C$6),10,0)</f>
        <v>10</v>
      </c>
      <c r="Q106" s="0" t="n">
        <f aca="false">IF($C$8="",4,IF(AND(ISNUMBER(G106),ISNUMBER(H106)),IF(AND($C$8&gt;=G106,$C$8&lt;=H106),7,0),4))</f>
        <v>4</v>
      </c>
      <c r="R106" s="0" t="n">
        <f aca="false">M106+N106+O106+P106+Q106+V106+Y106</f>
        <v>70</v>
      </c>
      <c r="S106" s="0" t="n">
        <f aca="false">IF(OR(M106=0,W106=0),-A106,R106*100+D106+F106*0.5-A106*0.001)</f>
        <v>7055.028</v>
      </c>
      <c r="T106" s="0" t="str">
        <f aca="false">Treatments!M74</f>
        <v>Added  </v>
      </c>
      <c r="U106" s="0" t="s">
        <v>22</v>
      </c>
      <c r="V106" s="0" t="n">
        <f aca="false">IF(OR($C$11="Any",U106="Any",U106=$C$11),8,0)</f>
        <v>8</v>
      </c>
      <c r="W106" s="0" t="n">
        <f aca="false">IF(LEFT(Treatments!AD74,3)="Yes",1,0)</f>
        <v>1</v>
      </c>
      <c r="X106" s="0" t="str">
        <f aca="false">Treatments!AE74</f>
        <v>Fatal &amp; injury only</v>
      </c>
      <c r="Y106" s="0" t="n">
        <f aca="false">IF($C$12="Any",5,IF($C$12=X106,5,IF(AND($C$12="Fatal &amp; injury only",X106="All crashes"),3,0)))</f>
        <v>5</v>
      </c>
      <c r="Z106" s="0" t="str">
        <f aca="false">Treatments!AE74&amp;" / "&amp;Treatments!AF74</f>
        <v>Fatal &amp; injury only / All crash types</v>
      </c>
      <c r="AA106" s="0" t="str">
        <f aca="false">IF(OR(Treatments!AH74="Overstates",Treatments!AH74="Check"),UPPER(Treatments!AH74)&amp;": "&amp;Treatments!AI74&amp;". ","")&amp;IF(Treatments!AG74="","",Treatments!AG74)</f>
        <v>No AADT range in the study.</v>
      </c>
    </row>
    <row r="107" customFormat="false" ht="12.75" hidden="true" customHeight="false" outlineLevel="0" collapsed="false">
      <c r="A107" s="0" t="n">
        <v>73</v>
      </c>
      <c r="B107" s="0" t="str">
        <f aca="false">Treatments!A75</f>
        <v>Replace TWLTL With Raised Median</v>
      </c>
      <c r="C107" s="0" t="str">
        <f aca="false">Treatments!B75</f>
        <v>CM: Corridor Access Management</v>
      </c>
      <c r="D107" s="0" t="n">
        <f aca="false">Treatments!Q75</f>
        <v>47</v>
      </c>
      <c r="E107" s="0" t="n">
        <f aca="false">Treatments!P75</f>
        <v>0.53</v>
      </c>
      <c r="F107" s="0" t="n">
        <f aca="false">IF(ISNUMBER(Treatments!N75),Treatments!N75,0)</f>
        <v>4</v>
      </c>
      <c r="G107" s="0" t="n">
        <f aca="false">IF(ISNUMBER(Treatments!U75),Treatments!U75,"")</f>
        <v>4883</v>
      </c>
      <c r="H107" s="0" t="n">
        <f aca="false">IF(ISNUMBER(Treatments!V75),Treatments!V75,"")</f>
        <v>96080</v>
      </c>
      <c r="I107" s="0" t="s">
        <v>72</v>
      </c>
      <c r="J107" s="0" t="s">
        <v>68</v>
      </c>
      <c r="K107" s="0" t="s">
        <v>22</v>
      </c>
      <c r="L107" s="0" t="s">
        <v>96</v>
      </c>
      <c r="M107" s="0" t="n">
        <f aca="false">IF(ISNUMBER(SEARCH("|"&amp;$C$7&amp;"|",L107)),45,IF(ISNUMBER(SEARCH("|All|",L107)),18,0))</f>
        <v>45</v>
      </c>
      <c r="N107" s="0" t="n">
        <f aca="false">IF(OR($C$4="Any",I107="All"),12,IF(ISNUMBER(SEARCH($C$4,I107)),12,0))</f>
        <v>12</v>
      </c>
      <c r="O107" s="0" t="n">
        <f aca="false">IF(OR($C$5="Any",J107="Any",J107=$C$5),13,0)</f>
        <v>13</v>
      </c>
      <c r="P107" s="0" t="n">
        <f aca="false">IF(OR($C$6="Any",K107="Any",K107=$C$6),10,0)</f>
        <v>10</v>
      </c>
      <c r="Q107" s="0" t="n">
        <f aca="false">IF($C$8="",4,IF(AND(ISNUMBER(G107),ISNUMBER(H107)),IF(AND($C$8&gt;=G107,$C$8&lt;=H107),7,0),4))</f>
        <v>4</v>
      </c>
      <c r="R107" s="0" t="n">
        <f aca="false">M107+N107+O107+P107+Q107+V107+Y107</f>
        <v>97</v>
      </c>
      <c r="S107" s="0" t="n">
        <f aca="false">IF(OR(M107=0,W107=0),-A107,R107*100+D107+F107*0.5-A107*0.001)</f>
        <v>9748.927</v>
      </c>
      <c r="T107" s="0" t="str">
        <f aca="false">Treatments!M75</f>
        <v>Added  </v>
      </c>
      <c r="U107" s="0" t="s">
        <v>22</v>
      </c>
      <c r="V107" s="0" t="n">
        <f aca="false">IF(OR($C$11="Any",U107="Any",U107=$C$11),8,0)</f>
        <v>8</v>
      </c>
      <c r="W107" s="0" t="n">
        <f aca="false">IF(LEFT(Treatments!AD75,3)="Yes",1,0)</f>
        <v>1</v>
      </c>
      <c r="X107" s="0" t="str">
        <f aca="false">Treatments!AE75</f>
        <v>All crashes</v>
      </c>
      <c r="Y107" s="0" t="n">
        <f aca="false">IF($C$12="Any",5,IF($C$12=X107,5,IF(AND($C$12="Fatal &amp; injury only",X107="All crashes"),3,0)))</f>
        <v>5</v>
      </c>
      <c r="Z107" s="0" t="str">
        <f aca="false">Treatments!AE75&amp;" / "&amp;Treatments!AF75</f>
        <v>All crashes / Only: Head on</v>
      </c>
      <c r="AA107" s="0" t="str">
        <f aca="false">IF(OR(Treatments!AH75="Overstates",Treatments!AH75="Check"),UPPER(Treatments!AH75)&amp;": "&amp;Treatments!AI75&amp;". ","")&amp;IF(Treatments!AG75="","",Treatments!AG75)</f>
        <v>OVERSTATES: Head-on only. AADT tested: 4,883-96,080.</v>
      </c>
    </row>
    <row r="108" customFormat="false" ht="12.75" hidden="true" customHeight="false" outlineLevel="0" collapsed="false">
      <c r="A108" s="0" t="n">
        <v>74</v>
      </c>
      <c r="B108" s="0" t="str">
        <f aca="false">Treatments!A76</f>
        <v>PROVIDE A RIGHT-TURN LANE ON ONE MAJOR-ROAD APPROACH</v>
      </c>
      <c r="C108" s="0" t="str">
        <f aca="false">Treatments!B76</f>
        <v>CM: Dedicated Right- Lanes at Intersections</v>
      </c>
      <c r="D108" s="0" t="n">
        <f aca="false">Treatments!Q76</f>
        <v>14</v>
      </c>
      <c r="E108" s="0" t="n">
        <f aca="false">Treatments!P76</f>
        <v>0.86</v>
      </c>
      <c r="F108" s="0" t="n">
        <f aca="false">IF(ISNUMBER(Treatments!N76),Treatments!N76,0)</f>
        <v>4</v>
      </c>
      <c r="G108" s="0" t="n">
        <f aca="false">IF(ISNUMBER(Treatments!U76),Treatments!U76,"")</f>
        <v>1500</v>
      </c>
      <c r="H108" s="0" t="n">
        <f aca="false">IF(ISNUMBER(Treatments!V76),Treatments!V76,"")</f>
        <v>40600</v>
      </c>
      <c r="I108" s="0" t="s">
        <v>72</v>
      </c>
      <c r="J108" s="0" t="s">
        <v>80</v>
      </c>
      <c r="K108" s="0" t="s">
        <v>22</v>
      </c>
      <c r="L108" s="0" t="s">
        <v>97</v>
      </c>
      <c r="M108" s="0" t="n">
        <f aca="false">IF(ISNUMBER(SEARCH("|"&amp;$C$7&amp;"|",L108)),45,IF(ISNUMBER(SEARCH("|All|",L108)),18,0))</f>
        <v>18</v>
      </c>
      <c r="N108" s="0" t="n">
        <f aca="false">IF(OR($C$4="Any",I108="All"),12,IF(ISNUMBER(SEARCH($C$4,I108)),12,0))</f>
        <v>12</v>
      </c>
      <c r="O108" s="0" t="n">
        <f aca="false">IF(OR($C$5="Any",J108="Any",J108=$C$5),13,0)</f>
        <v>13</v>
      </c>
      <c r="P108" s="0" t="n">
        <f aca="false">IF(OR($C$6="Any",K108="Any",K108=$C$6),10,0)</f>
        <v>10</v>
      </c>
      <c r="Q108" s="0" t="n">
        <f aca="false">IF($C$8="",4,IF(AND(ISNUMBER(G108),ISNUMBER(H108)),IF(AND($C$8&gt;=G108,$C$8&lt;=H108),7,0),4))</f>
        <v>4</v>
      </c>
      <c r="R108" s="0" t="n">
        <f aca="false">M108+N108+O108+P108+Q108+V108+Y108</f>
        <v>70</v>
      </c>
      <c r="S108" s="0" t="n">
        <f aca="false">IF(OR(M108=0,W108=0),-A108,R108*100+D108+F108*0.5-A108*0.001)</f>
        <v>7015.926</v>
      </c>
      <c r="T108" s="0" t="str">
        <f aca="false">Treatments!M76</f>
        <v>Original </v>
      </c>
      <c r="U108" s="0" t="s">
        <v>22</v>
      </c>
      <c r="V108" s="0" t="n">
        <f aca="false">IF(OR($C$11="Any",U108="Any",U108=$C$11),8,0)</f>
        <v>8</v>
      </c>
      <c r="W108" s="0" t="n">
        <f aca="false">IF(LEFT(Treatments!AD76,3)="Yes",1,0)</f>
        <v>1</v>
      </c>
      <c r="X108" s="0" t="str">
        <f aca="false">Treatments!AE76</f>
        <v>All crashes</v>
      </c>
      <c r="Y108" s="0" t="n">
        <f aca="false">IF($C$12="Any",5,IF($C$12=X108,5,IF(AND($C$12="Fatal &amp; injury only",X108="All crashes"),3,0)))</f>
        <v>5</v>
      </c>
      <c r="Z108" s="0" t="str">
        <f aca="false">Treatments!AE76&amp;" / "&amp;Treatments!AF76</f>
        <v>All crashes / All crash types</v>
      </c>
      <c r="AA108" s="0" t="str">
        <f aca="false">IF(OR(Treatments!AH76="Overstates",Treatments!AH76="Check"),UPPER(Treatments!AH76)&amp;": "&amp;Treatments!AI76&amp;". ","")&amp;IF(Treatments!AG76="","",Treatments!AG76)</f>
        <v>AADT tested: 1,500-40,600.</v>
      </c>
    </row>
    <row r="109" customFormat="false" ht="12.75" hidden="true" customHeight="false" outlineLevel="0" collapsed="false">
      <c r="A109" s="0" t="n">
        <v>75</v>
      </c>
      <c r="B109" s="0" t="str">
        <f aca="false">Treatments!A77</f>
        <v>Improve Angle Of Channelized Right Turn Lane</v>
      </c>
      <c r="C109" s="0" t="str">
        <f aca="false">Treatments!B77</f>
        <v>CM: Dedicated Right- Lanes at Intersections</v>
      </c>
      <c r="D109" s="0" t="n">
        <f aca="false">Treatments!Q77</f>
        <v>60.3</v>
      </c>
      <c r="E109" s="0" t="n">
        <f aca="false">Treatments!P77</f>
        <v>0.397</v>
      </c>
      <c r="F109" s="0" t="n">
        <f aca="false">IF(ISNUMBER(Treatments!N77),Treatments!N77,0)</f>
        <v>4</v>
      </c>
      <c r="G109" s="0" t="str">
        <f aca="false">IF(ISNUMBER(Treatments!U77),Treatments!U77,"")</f>
        <v/>
      </c>
      <c r="H109" s="0" t="str">
        <f aca="false">IF(ISNUMBER(Treatments!V77),Treatments!V77,"")</f>
        <v/>
      </c>
      <c r="I109" s="0" t="s">
        <v>72</v>
      </c>
      <c r="J109" s="0" t="s">
        <v>80</v>
      </c>
      <c r="K109" s="0" t="s">
        <v>22</v>
      </c>
      <c r="L109" s="0" t="s">
        <v>98</v>
      </c>
      <c r="M109" s="0" t="n">
        <f aca="false">IF(ISNUMBER(SEARCH("|"&amp;$C$7&amp;"|",L109)),45,IF(ISNUMBER(SEARCH("|All|",L109)),18,0))</f>
        <v>0</v>
      </c>
      <c r="N109" s="0" t="n">
        <f aca="false">IF(OR($C$4="Any",I109="All"),12,IF(ISNUMBER(SEARCH($C$4,I109)),12,0))</f>
        <v>12</v>
      </c>
      <c r="O109" s="0" t="n">
        <f aca="false">IF(OR($C$5="Any",J109="Any",J109=$C$5),13,0)</f>
        <v>13</v>
      </c>
      <c r="P109" s="0" t="n">
        <f aca="false">IF(OR($C$6="Any",K109="Any",K109=$C$6),10,0)</f>
        <v>10</v>
      </c>
      <c r="Q109" s="0" t="n">
        <f aca="false">IF($C$8="",4,IF(AND(ISNUMBER(G109),ISNUMBER(H109)),IF(AND($C$8&gt;=G109,$C$8&lt;=H109),7,0),4))</f>
        <v>4</v>
      </c>
      <c r="R109" s="0" t="n">
        <f aca="false">M109+N109+O109+P109+Q109+V109+Y109</f>
        <v>52</v>
      </c>
      <c r="S109" s="0" t="n">
        <f aca="false">IF(OR(M109=0,W109=0),-A109,R109*100+D109+F109*0.5-A109*0.001)</f>
        <v>-75</v>
      </c>
      <c r="T109" s="0" t="str">
        <f aca="false">Treatments!M77</f>
        <v>Added  </v>
      </c>
      <c r="U109" s="0" t="s">
        <v>22</v>
      </c>
      <c r="V109" s="0" t="n">
        <f aca="false">IF(OR($C$11="Any",U109="Any",U109=$C$11),8,0)</f>
        <v>8</v>
      </c>
      <c r="W109" s="0" t="n">
        <f aca="false">IF(LEFT(Treatments!AD77,3)="Yes",1,0)</f>
        <v>1</v>
      </c>
      <c r="X109" s="0" t="str">
        <f aca="false">Treatments!AE77</f>
        <v>All crashes</v>
      </c>
      <c r="Y109" s="0" t="n">
        <f aca="false">IF($C$12="Any",5,IF($C$12=X109,5,IF(AND($C$12="Fatal &amp; injury only",X109="All crashes"),3,0)))</f>
        <v>5</v>
      </c>
      <c r="Z109" s="0" t="str">
        <f aca="false">Treatments!AE77&amp;" / "&amp;Treatments!AF77</f>
        <v>All crashes / Only: Right turn,Other</v>
      </c>
      <c r="AA109" s="0" t="str">
        <f aca="false">IF(OR(Treatments!AH77="Overstates",Treatments!AH77="Check"),UPPER(Treatments!AH77)&amp;": "&amp;Treatments!AI77&amp;". ","")&amp;IF(Treatments!AG77="","",Treatments!AG77)</f>
        <v>OVERSTATES: Right-turn crashes only. No AADT range in the study.</v>
      </c>
    </row>
    <row r="110" customFormat="false" ht="12.75" hidden="true" customHeight="false" outlineLevel="0" collapsed="false">
      <c r="A110" s="0" t="n">
        <v>76</v>
      </c>
      <c r="B110" s="0" t="str">
        <f aca="false">Treatments!A78</f>
        <v>Change Right-Turn Lane Geometry To Increase Line Of Sight (Approach Level)</v>
      </c>
      <c r="C110" s="0" t="str">
        <f aca="false">Treatments!B78</f>
        <v>CM: Dedicated Right- Lanes at Intersections</v>
      </c>
      <c r="D110" s="0" t="n">
        <f aca="false">Treatments!Q78</f>
        <v>59.6</v>
      </c>
      <c r="E110" s="0" t="n">
        <f aca="false">Treatments!P78</f>
        <v>0.404</v>
      </c>
      <c r="F110" s="0" t="n">
        <f aca="false">IF(ISNUMBER(Treatments!N78),Treatments!N78,0)</f>
        <v>4</v>
      </c>
      <c r="G110" s="0" t="str">
        <f aca="false">IF(ISNUMBER(Treatments!U78),Treatments!U78,"")</f>
        <v/>
      </c>
      <c r="H110" s="0" t="str">
        <f aca="false">IF(ISNUMBER(Treatments!V78),Treatments!V78,"")</f>
        <v/>
      </c>
      <c r="I110" s="0" t="s">
        <v>72</v>
      </c>
      <c r="J110" s="0" t="s">
        <v>80</v>
      </c>
      <c r="K110" s="0" t="s">
        <v>22</v>
      </c>
      <c r="L110" s="0" t="s">
        <v>98</v>
      </c>
      <c r="M110" s="0" t="n">
        <f aca="false">IF(ISNUMBER(SEARCH("|"&amp;$C$7&amp;"|",L110)),45,IF(ISNUMBER(SEARCH("|All|",L110)),18,0))</f>
        <v>0</v>
      </c>
      <c r="N110" s="0" t="n">
        <f aca="false">IF(OR($C$4="Any",I110="All"),12,IF(ISNUMBER(SEARCH($C$4,I110)),12,0))</f>
        <v>12</v>
      </c>
      <c r="O110" s="0" t="n">
        <f aca="false">IF(OR($C$5="Any",J110="Any",J110=$C$5),13,0)</f>
        <v>13</v>
      </c>
      <c r="P110" s="0" t="n">
        <f aca="false">IF(OR($C$6="Any",K110="Any",K110=$C$6),10,0)</f>
        <v>10</v>
      </c>
      <c r="Q110" s="0" t="n">
        <f aca="false">IF($C$8="",4,IF(AND(ISNUMBER(G110),ISNUMBER(H110)),IF(AND($C$8&gt;=G110,$C$8&lt;=H110),7,0),4))</f>
        <v>4</v>
      </c>
      <c r="R110" s="0" t="n">
        <f aca="false">M110+N110+O110+P110+Q110+V110+Y110</f>
        <v>52</v>
      </c>
      <c r="S110" s="0" t="n">
        <f aca="false">IF(OR(M110=0,W110=0),-A110,R110*100+D110+F110*0.5-A110*0.001)</f>
        <v>-76</v>
      </c>
      <c r="T110" s="0" t="str">
        <f aca="false">Treatments!M78</f>
        <v>Added  </v>
      </c>
      <c r="U110" s="0" t="s">
        <v>22</v>
      </c>
      <c r="V110" s="0" t="n">
        <f aca="false">IF(OR($C$11="Any",U110="Any",U110=$C$11),8,0)</f>
        <v>8</v>
      </c>
      <c r="W110" s="0" t="n">
        <f aca="false">IF(LEFT(Treatments!AD78,3)="Yes",1,0)</f>
        <v>1</v>
      </c>
      <c r="X110" s="0" t="str">
        <f aca="false">Treatments!AE78</f>
        <v>All crashes</v>
      </c>
      <c r="Y110" s="0" t="n">
        <f aca="false">IF($C$12="Any",5,IF($C$12=X110,5,IF(AND($C$12="Fatal &amp; injury only",X110="All crashes"),3,0)))</f>
        <v>5</v>
      </c>
      <c r="Z110" s="0" t="str">
        <f aca="false">Treatments!AE78&amp;" / "&amp;Treatments!AF78</f>
        <v>All crashes / Only: Right turn</v>
      </c>
      <c r="AA110" s="0" t="str">
        <f aca="false">IF(OR(Treatments!AH78="Overstates",Treatments!AH78="Check"),UPPER(Treatments!AH78)&amp;": "&amp;Treatments!AI78&amp;". ","")&amp;IF(Treatments!AG78="","",Treatments!AG78)</f>
        <v>OVERSTATES: Right-turn crashes only. No AADT range in the study.</v>
      </c>
    </row>
    <row r="111" customFormat="false" ht="12.75" hidden="true" customHeight="false" outlineLevel="0" collapsed="false">
      <c r="A111" s="0" t="n">
        <v>77</v>
      </c>
      <c r="B111" s="0" t="str">
        <f aca="false">Treatments!A79</f>
        <v>Change Right-Turn Lane Geometry To Increase Line Of Sight (Intersection Level)</v>
      </c>
      <c r="C111" s="0" t="str">
        <f aca="false">Treatments!B79</f>
        <v>CM: Dedicated Right- Lanes at Intersections</v>
      </c>
      <c r="D111" s="0" t="n">
        <f aca="false">Treatments!Q79</f>
        <v>44.2</v>
      </c>
      <c r="E111" s="0" t="n">
        <f aca="false">Treatments!P79</f>
        <v>0.558</v>
      </c>
      <c r="F111" s="0" t="n">
        <f aca="false">IF(ISNUMBER(Treatments!N79),Treatments!N79,0)</f>
        <v>4</v>
      </c>
      <c r="G111" s="0" t="str">
        <f aca="false">IF(ISNUMBER(Treatments!U79),Treatments!U79,"")</f>
        <v/>
      </c>
      <c r="H111" s="0" t="str">
        <f aca="false">IF(ISNUMBER(Treatments!V79),Treatments!V79,"")</f>
        <v/>
      </c>
      <c r="I111" s="0" t="s">
        <v>72</v>
      </c>
      <c r="J111" s="0" t="s">
        <v>80</v>
      </c>
      <c r="K111" s="0" t="s">
        <v>22</v>
      </c>
      <c r="L111" s="0" t="s">
        <v>97</v>
      </c>
      <c r="M111" s="0" t="n">
        <f aca="false">IF(ISNUMBER(SEARCH("|"&amp;$C$7&amp;"|",L111)),45,IF(ISNUMBER(SEARCH("|All|",L111)),18,0))</f>
        <v>18</v>
      </c>
      <c r="N111" s="0" t="n">
        <f aca="false">IF(OR($C$4="Any",I111="All"),12,IF(ISNUMBER(SEARCH($C$4,I111)),12,0))</f>
        <v>12</v>
      </c>
      <c r="O111" s="0" t="n">
        <f aca="false">IF(OR($C$5="Any",J111="Any",J111=$C$5),13,0)</f>
        <v>13</v>
      </c>
      <c r="P111" s="0" t="n">
        <f aca="false">IF(OR($C$6="Any",K111="Any",K111=$C$6),10,0)</f>
        <v>10</v>
      </c>
      <c r="Q111" s="0" t="n">
        <f aca="false">IF($C$8="",4,IF(AND(ISNUMBER(G111),ISNUMBER(H111)),IF(AND($C$8&gt;=G111,$C$8&lt;=H111),7,0),4))</f>
        <v>4</v>
      </c>
      <c r="R111" s="0" t="n">
        <f aca="false">M111+N111+O111+P111+Q111+V111+Y111</f>
        <v>70</v>
      </c>
      <c r="S111" s="0" t="n">
        <f aca="false">IF(OR(M111=0,W111=0),-A111,R111*100+D111+F111*0.5-A111*0.001)</f>
        <v>7046.123</v>
      </c>
      <c r="T111" s="0" t="str">
        <f aca="false">Treatments!M79</f>
        <v>Added  </v>
      </c>
      <c r="U111" s="0" t="s">
        <v>22</v>
      </c>
      <c r="V111" s="0" t="n">
        <f aca="false">IF(OR($C$11="Any",U111="Any",U111=$C$11),8,0)</f>
        <v>8</v>
      </c>
      <c r="W111" s="0" t="n">
        <f aca="false">IF(LEFT(Treatments!AD79,3)="Yes",1,0)</f>
        <v>1</v>
      </c>
      <c r="X111" s="0" t="str">
        <f aca="false">Treatments!AE79</f>
        <v>All crashes</v>
      </c>
      <c r="Y111" s="0" t="n">
        <f aca="false">IF($C$12="Any",5,IF($C$12=X111,5,IF(AND($C$12="Fatal &amp; injury only",X111="All crashes"),3,0)))</f>
        <v>5</v>
      </c>
      <c r="Z111" s="0" t="str">
        <f aca="false">Treatments!AE79&amp;" / "&amp;Treatments!AF79</f>
        <v>All crashes / All crash types</v>
      </c>
      <c r="AA111" s="0" t="str">
        <f aca="false">IF(OR(Treatments!AH79="Overstates",Treatments!AH79="Check"),UPPER(Treatments!AH79)&amp;": "&amp;Treatments!AI79&amp;". ","")&amp;IF(Treatments!AG79="","",Treatments!AG79)</f>
        <v>No AADT range in the study.</v>
      </c>
    </row>
    <row r="112" customFormat="false" ht="12.75" hidden="true" customHeight="false" outlineLevel="0" collapsed="false">
      <c r="A112" s="0" t="n">
        <v>78</v>
      </c>
      <c r="B112" s="0" t="str">
        <f aca="false">Treatments!A80</f>
        <v>Provide A Right-Turn Lane On Both Major-Road Approaches</v>
      </c>
      <c r="C112" s="0" t="str">
        <f aca="false">Treatments!B80</f>
        <v>CM: Dedicated Right- Lanes at Intersections</v>
      </c>
      <c r="D112" s="0" t="n">
        <f aca="false">Treatments!Q80</f>
        <v>26</v>
      </c>
      <c r="E112" s="0" t="n">
        <f aca="false">Treatments!P80</f>
        <v>0.74</v>
      </c>
      <c r="F112" s="0" t="n">
        <f aca="false">IF(ISNUMBER(Treatments!N80),Treatments!N80,0)</f>
        <v>4</v>
      </c>
      <c r="G112" s="0" t="n">
        <f aca="false">IF(ISNUMBER(Treatments!U80),Treatments!U80,"")</f>
        <v>1500</v>
      </c>
      <c r="H112" s="0" t="n">
        <f aca="false">IF(ISNUMBER(Treatments!V80),Treatments!V80,"")</f>
        <v>40600</v>
      </c>
      <c r="I112" s="0" t="s">
        <v>72</v>
      </c>
      <c r="J112" s="0" t="s">
        <v>80</v>
      </c>
      <c r="K112" s="0" t="s">
        <v>22</v>
      </c>
      <c r="L112" s="0" t="s">
        <v>97</v>
      </c>
      <c r="M112" s="0" t="n">
        <f aca="false">IF(ISNUMBER(SEARCH("|"&amp;$C$7&amp;"|",L112)),45,IF(ISNUMBER(SEARCH("|All|",L112)),18,0))</f>
        <v>18</v>
      </c>
      <c r="N112" s="0" t="n">
        <f aca="false">IF(OR($C$4="Any",I112="All"),12,IF(ISNUMBER(SEARCH($C$4,I112)),12,0))</f>
        <v>12</v>
      </c>
      <c r="O112" s="0" t="n">
        <f aca="false">IF(OR($C$5="Any",J112="Any",J112=$C$5),13,0)</f>
        <v>13</v>
      </c>
      <c r="P112" s="0" t="n">
        <f aca="false">IF(OR($C$6="Any",K112="Any",K112=$C$6),10,0)</f>
        <v>10</v>
      </c>
      <c r="Q112" s="0" t="n">
        <f aca="false">IF($C$8="",4,IF(AND(ISNUMBER(G112),ISNUMBER(H112)),IF(AND($C$8&gt;=G112,$C$8&lt;=H112),7,0),4))</f>
        <v>4</v>
      </c>
      <c r="R112" s="0" t="n">
        <f aca="false">M112+N112+O112+P112+Q112+V112+Y112</f>
        <v>70</v>
      </c>
      <c r="S112" s="0" t="n">
        <f aca="false">IF(OR(M112=0,W112=0),-A112,R112*100+D112+F112*0.5-A112*0.001)</f>
        <v>7027.922</v>
      </c>
      <c r="T112" s="0" t="str">
        <f aca="false">Treatments!M80</f>
        <v>Added  </v>
      </c>
      <c r="U112" s="0" t="s">
        <v>22</v>
      </c>
      <c r="V112" s="0" t="n">
        <f aca="false">IF(OR($C$11="Any",U112="Any",U112=$C$11),8,0)</f>
        <v>8</v>
      </c>
      <c r="W112" s="0" t="n">
        <f aca="false">IF(LEFT(Treatments!AD80,3)="Yes",1,0)</f>
        <v>1</v>
      </c>
      <c r="X112" s="0" t="str">
        <f aca="false">Treatments!AE80</f>
        <v>All crashes</v>
      </c>
      <c r="Y112" s="0" t="n">
        <f aca="false">IF($C$12="Any",5,IF($C$12=X112,5,IF(AND($C$12="Fatal &amp; injury only",X112="All crashes"),3,0)))</f>
        <v>5</v>
      </c>
      <c r="Z112" s="0" t="str">
        <f aca="false">Treatments!AE80&amp;" / "&amp;Treatments!AF80</f>
        <v>All crashes / All crash types</v>
      </c>
      <c r="AA112" s="0" t="str">
        <f aca="false">IF(OR(Treatments!AH80="Overstates",Treatments!AH80="Check"),UPPER(Treatments!AH80)&amp;": "&amp;Treatments!AI80&amp;". ","")&amp;IF(Treatments!AG80="","",Treatments!AG80)</f>
        <v>AADT tested: 1,500-40,600.</v>
      </c>
    </row>
    <row r="113" customFormat="false" ht="12.75" hidden="true" customHeight="false" outlineLevel="0" collapsed="false">
      <c r="A113" s="0" t="n">
        <v>79</v>
      </c>
      <c r="B113" s="0" t="str">
        <f aca="false">Treatments!A81</f>
        <v>Provide A Right-Turn Lane On One Major-Road Approach</v>
      </c>
      <c r="C113" s="0" t="str">
        <f aca="false">Treatments!B81</f>
        <v>CM: Dedicated Right- Lanes at Intersections</v>
      </c>
      <c r="D113" s="0" t="n">
        <f aca="false">Treatments!Q81</f>
        <v>23</v>
      </c>
      <c r="E113" s="0" t="n">
        <f aca="false">Treatments!P81</f>
        <v>0.77</v>
      </c>
      <c r="F113" s="0" t="n">
        <f aca="false">IF(ISNUMBER(Treatments!N81),Treatments!N81,0)</f>
        <v>4</v>
      </c>
      <c r="G113" s="0" t="n">
        <f aca="false">IF(ISNUMBER(Treatments!U81),Treatments!U81,"")</f>
        <v>1500</v>
      </c>
      <c r="H113" s="0" t="n">
        <f aca="false">IF(ISNUMBER(Treatments!V81),Treatments!V81,"")</f>
        <v>40600</v>
      </c>
      <c r="I113" s="0" t="s">
        <v>72</v>
      </c>
      <c r="J113" s="0" t="s">
        <v>80</v>
      </c>
      <c r="K113" s="0" t="s">
        <v>22</v>
      </c>
      <c r="L113" s="0" t="s">
        <v>97</v>
      </c>
      <c r="M113" s="0" t="n">
        <f aca="false">IF(ISNUMBER(SEARCH("|"&amp;$C$7&amp;"|",L113)),45,IF(ISNUMBER(SEARCH("|All|",L113)),18,0))</f>
        <v>18</v>
      </c>
      <c r="N113" s="0" t="n">
        <f aca="false">IF(OR($C$4="Any",I113="All"),12,IF(ISNUMBER(SEARCH($C$4,I113)),12,0))</f>
        <v>12</v>
      </c>
      <c r="O113" s="0" t="n">
        <f aca="false">IF(OR($C$5="Any",J113="Any",J113=$C$5),13,0)</f>
        <v>13</v>
      </c>
      <c r="P113" s="0" t="n">
        <f aca="false">IF(OR($C$6="Any",K113="Any",K113=$C$6),10,0)</f>
        <v>10</v>
      </c>
      <c r="Q113" s="0" t="n">
        <f aca="false">IF($C$8="",4,IF(AND(ISNUMBER(G113),ISNUMBER(H113)),IF(AND($C$8&gt;=G113,$C$8&lt;=H113),7,0),4))</f>
        <v>4</v>
      </c>
      <c r="R113" s="0" t="n">
        <f aca="false">M113+N113+O113+P113+Q113+V113+Y113</f>
        <v>70</v>
      </c>
      <c r="S113" s="0" t="n">
        <f aca="false">IF(OR(M113=0,W113=0),-A113,R113*100+D113+F113*0.5-A113*0.001)</f>
        <v>7024.921</v>
      </c>
      <c r="T113" s="0" t="str">
        <f aca="false">Treatments!M81</f>
        <v>Added  </v>
      </c>
      <c r="U113" s="0" t="s">
        <v>22</v>
      </c>
      <c r="V113" s="0" t="n">
        <f aca="false">IF(OR($C$11="Any",U113="Any",U113=$C$11),8,0)</f>
        <v>8</v>
      </c>
      <c r="W113" s="0" t="n">
        <f aca="false">IF(LEFT(Treatments!AD81,3)="Yes",1,0)</f>
        <v>1</v>
      </c>
      <c r="X113" s="0" t="str">
        <f aca="false">Treatments!AE81</f>
        <v>Fatal &amp; injury only</v>
      </c>
      <c r="Y113" s="0" t="n">
        <f aca="false">IF($C$12="Any",5,IF($C$12=X113,5,IF(AND($C$12="Fatal &amp; injury only",X113="All crashes"),3,0)))</f>
        <v>5</v>
      </c>
      <c r="Z113" s="0" t="str">
        <f aca="false">Treatments!AE81&amp;" / "&amp;Treatments!AF81</f>
        <v>Fatal &amp; injury only / All crash types</v>
      </c>
      <c r="AA113" s="0" t="str">
        <f aca="false">IF(OR(Treatments!AH81="Overstates",Treatments!AH81="Check"),UPPER(Treatments!AH81)&amp;": "&amp;Treatments!AI81&amp;". ","")&amp;IF(Treatments!AG81="","",Treatments!AG81)</f>
        <v>AADT tested: 1,500-40,600.</v>
      </c>
    </row>
    <row r="114" customFormat="false" ht="12.75" hidden="true" customHeight="false" outlineLevel="0" collapsed="false">
      <c r="A114" s="0" t="n">
        <v>80</v>
      </c>
      <c r="B114" s="0" t="str">
        <f aca="false">Treatments!A82</f>
        <v>Provide A Left-Turn Lane On One Major-Road Approach</v>
      </c>
      <c r="C114" s="0" t="str">
        <f aca="false">Treatments!B82</f>
        <v>CM: Dedicated Left- Lanes at Intersections</v>
      </c>
      <c r="D114" s="0" t="n">
        <f aca="false">Treatments!Q82</f>
        <v>28</v>
      </c>
      <c r="E114" s="0" t="n">
        <f aca="false">Treatments!P82</f>
        <v>0.72</v>
      </c>
      <c r="F114" s="0" t="n">
        <f aca="false">IF(ISNUMBER(Treatments!N82),Treatments!N82,0)</f>
        <v>4</v>
      </c>
      <c r="G114" s="0" t="n">
        <f aca="false">IF(ISNUMBER(Treatments!U82),Treatments!U82,"")</f>
        <v>1600</v>
      </c>
      <c r="H114" s="0" t="n">
        <f aca="false">IF(ISNUMBER(Treatments!V82),Treatments!V82,"")</f>
        <v>32400</v>
      </c>
      <c r="I114" s="0" t="s">
        <v>73</v>
      </c>
      <c r="J114" s="0" t="s">
        <v>80</v>
      </c>
      <c r="K114" s="0" t="s">
        <v>22</v>
      </c>
      <c r="L114" s="0" t="s">
        <v>99</v>
      </c>
      <c r="M114" s="0" t="n">
        <f aca="false">IF(ISNUMBER(SEARCH("|"&amp;$C$7&amp;"|",L114)),45,IF(ISNUMBER(SEARCH("|All|",L114)),18,0))</f>
        <v>18</v>
      </c>
      <c r="N114" s="0" t="n">
        <f aca="false">IF(OR($C$4="Any",I114="All"),12,IF(ISNUMBER(SEARCH($C$4,I114)),12,0))</f>
        <v>12</v>
      </c>
      <c r="O114" s="0" t="n">
        <f aca="false">IF(OR($C$5="Any",J114="Any",J114=$C$5),13,0)</f>
        <v>13</v>
      </c>
      <c r="P114" s="0" t="n">
        <f aca="false">IF(OR($C$6="Any",K114="Any",K114=$C$6),10,0)</f>
        <v>10</v>
      </c>
      <c r="Q114" s="0" t="n">
        <f aca="false">IF($C$8="",4,IF(AND(ISNUMBER(G114),ISNUMBER(H114)),IF(AND($C$8&gt;=G114,$C$8&lt;=H114),7,0),4))</f>
        <v>4</v>
      </c>
      <c r="R114" s="0" t="n">
        <f aca="false">M114+N114+O114+P114+Q114+V114+Y114</f>
        <v>70</v>
      </c>
      <c r="S114" s="0" t="n">
        <f aca="false">IF(OR(M114=0,W114=0),-A114,R114*100+D114+F114*0.5-A114*0.001)</f>
        <v>7029.92</v>
      </c>
      <c r="T114" s="0" t="str">
        <f aca="false">Treatments!M82</f>
        <v>Original </v>
      </c>
      <c r="U114" s="0" t="s">
        <v>22</v>
      </c>
      <c r="V114" s="0" t="n">
        <f aca="false">IF(OR($C$11="Any",U114="Any",U114=$C$11),8,0)</f>
        <v>8</v>
      </c>
      <c r="W114" s="0" t="n">
        <f aca="false">IF(LEFT(Treatments!AD82,3)="Yes",1,0)</f>
        <v>1</v>
      </c>
      <c r="X114" s="0" t="str">
        <f aca="false">Treatments!AE82</f>
        <v>All crashes</v>
      </c>
      <c r="Y114" s="0" t="n">
        <f aca="false">IF($C$12="Any",5,IF($C$12=X114,5,IF(AND($C$12="Fatal &amp; injury only",X114="All crashes"),3,0)))</f>
        <v>5</v>
      </c>
      <c r="Z114" s="0" t="str">
        <f aca="false">Treatments!AE82&amp;" / "&amp;Treatments!AF82</f>
        <v>All crashes / All crash types</v>
      </c>
      <c r="AA114" s="0" t="str">
        <f aca="false">IF(OR(Treatments!AH82="Overstates",Treatments!AH82="Check"),UPPER(Treatments!AH82)&amp;": "&amp;Treatments!AI82&amp;". ","")&amp;IF(Treatments!AG82="","",Treatments!AG82)</f>
        <v>AADT tested: 1,600-32,400.</v>
      </c>
    </row>
    <row r="115" customFormat="false" ht="12.75" hidden="true" customHeight="false" outlineLevel="0" collapsed="false">
      <c r="A115" s="0" t="n">
        <v>81</v>
      </c>
      <c r="B115" s="0" t="str">
        <f aca="false">Treatments!A83</f>
        <v>Improve Left-Turn Lane Offset To Create Positive Offset</v>
      </c>
      <c r="C115" s="0" t="str">
        <f aca="false">Treatments!B83</f>
        <v>CM: Dedicated Left- Lanes at Intersections</v>
      </c>
      <c r="D115" s="0" t="n">
        <f aca="false">Treatments!Q83</f>
        <v>35.6</v>
      </c>
      <c r="E115" s="0" t="n">
        <f aca="false">Treatments!P83</f>
        <v>0.644</v>
      </c>
      <c r="F115" s="0" t="n">
        <f aca="false">IF(ISNUMBER(Treatments!N83),Treatments!N83,0)</f>
        <v>3</v>
      </c>
      <c r="G115" s="0" t="n">
        <f aca="false">IF(ISNUMBER(Treatments!U83),Treatments!U83,"")</f>
        <v>7150</v>
      </c>
      <c r="H115" s="0" t="n">
        <f aca="false">IF(ISNUMBER(Treatments!V83),Treatments!V83,"")</f>
        <v>29200</v>
      </c>
      <c r="I115" s="0" t="s">
        <v>72</v>
      </c>
      <c r="J115" s="0" t="s">
        <v>80</v>
      </c>
      <c r="K115" s="0" t="s">
        <v>22</v>
      </c>
      <c r="L115" s="0" t="s">
        <v>99</v>
      </c>
      <c r="M115" s="0" t="n">
        <f aca="false">IF(ISNUMBER(SEARCH("|"&amp;$C$7&amp;"|",L115)),45,IF(ISNUMBER(SEARCH("|All|",L115)),18,0))</f>
        <v>18</v>
      </c>
      <c r="N115" s="0" t="n">
        <f aca="false">IF(OR($C$4="Any",I115="All"),12,IF(ISNUMBER(SEARCH($C$4,I115)),12,0))</f>
        <v>12</v>
      </c>
      <c r="O115" s="0" t="n">
        <f aca="false">IF(OR($C$5="Any",J115="Any",J115=$C$5),13,0)</f>
        <v>13</v>
      </c>
      <c r="P115" s="0" t="n">
        <f aca="false">IF(OR($C$6="Any",K115="Any",K115=$C$6),10,0)</f>
        <v>10</v>
      </c>
      <c r="Q115" s="0" t="n">
        <f aca="false">IF($C$8="",4,IF(AND(ISNUMBER(G115),ISNUMBER(H115)),IF(AND($C$8&gt;=G115,$C$8&lt;=H115),7,0),4))</f>
        <v>4</v>
      </c>
      <c r="R115" s="0" t="n">
        <f aca="false">M115+N115+O115+P115+Q115+V115+Y115</f>
        <v>70</v>
      </c>
      <c r="S115" s="0" t="n">
        <f aca="false">IF(OR(M115=0,W115=0),-A115,R115*100+D115+F115*0.5-A115*0.001)</f>
        <v>7037.019</v>
      </c>
      <c r="T115" s="0" t="str">
        <f aca="false">Treatments!M83</f>
        <v>Original </v>
      </c>
      <c r="U115" s="0" t="s">
        <v>22</v>
      </c>
      <c r="V115" s="0" t="n">
        <f aca="false">IF(OR($C$11="Any",U115="Any",U115=$C$11),8,0)</f>
        <v>8</v>
      </c>
      <c r="W115" s="0" t="n">
        <f aca="false">IF(LEFT(Treatments!AD83,3)="Yes",1,0)</f>
        <v>1</v>
      </c>
      <c r="X115" s="0" t="str">
        <f aca="false">Treatments!AE83</f>
        <v>Fatal &amp; injury only</v>
      </c>
      <c r="Y115" s="0" t="n">
        <f aca="false">IF($C$12="Any",5,IF($C$12=X115,5,IF(AND($C$12="Fatal &amp; injury only",X115="All crashes"),3,0)))</f>
        <v>5</v>
      </c>
      <c r="Z115" s="0" t="str">
        <f aca="false">Treatments!AE83&amp;" / "&amp;Treatments!AF83</f>
        <v>Fatal &amp; injury only / All crash types</v>
      </c>
      <c r="AA115" s="0" t="str">
        <f aca="false">IF(OR(Treatments!AH83="Overstates",Treatments!AH83="Check"),UPPER(Treatments!AH83)&amp;": "&amp;Treatments!AI83&amp;". ","")&amp;IF(Treatments!AG83="","",Treatments!AG83)</f>
        <v>AADT tested: 7,150-29,200.</v>
      </c>
    </row>
    <row r="116" customFormat="false" ht="12.75" hidden="true" customHeight="false" outlineLevel="0" collapsed="false">
      <c r="A116" s="0" t="n">
        <v>82</v>
      </c>
      <c r="B116" s="0" t="str">
        <f aca="false">Treatments!A84</f>
        <v>Install Dual Left Turn Lanes (DLTLs)</v>
      </c>
      <c r="C116" s="0" t="str">
        <f aca="false">Treatments!B84</f>
        <v>CM: Dedicated Left- Lanes at Intersections</v>
      </c>
      <c r="D116" s="0" t="n">
        <f aca="false">Treatments!Q84</f>
        <v>5.6</v>
      </c>
      <c r="E116" s="0" t="n">
        <f aca="false">Treatments!P84</f>
        <v>0.944</v>
      </c>
      <c r="F116" s="0" t="n">
        <f aca="false">IF(ISNUMBER(Treatments!N84),Treatments!N84,0)</f>
        <v>5</v>
      </c>
      <c r="G116" s="0" t="n">
        <f aca="false">IF(ISNUMBER(Treatments!U84),Treatments!U84,"")</f>
        <v>21000</v>
      </c>
      <c r="H116" s="0" t="n">
        <f aca="false">IF(ISNUMBER(Treatments!V84),Treatments!V84,"")</f>
        <v>69000</v>
      </c>
      <c r="I116" s="0" t="s">
        <v>72</v>
      </c>
      <c r="J116" s="0" t="s">
        <v>80</v>
      </c>
      <c r="K116" s="0" t="s">
        <v>22</v>
      </c>
      <c r="L116" s="0" t="s">
        <v>99</v>
      </c>
      <c r="M116" s="0" t="n">
        <f aca="false">IF(ISNUMBER(SEARCH("|"&amp;$C$7&amp;"|",L116)),45,IF(ISNUMBER(SEARCH("|All|",L116)),18,0))</f>
        <v>18</v>
      </c>
      <c r="N116" s="0" t="n">
        <f aca="false">IF(OR($C$4="Any",I116="All"),12,IF(ISNUMBER(SEARCH($C$4,I116)),12,0))</f>
        <v>12</v>
      </c>
      <c r="O116" s="0" t="n">
        <f aca="false">IF(OR($C$5="Any",J116="Any",J116=$C$5),13,0)</f>
        <v>13</v>
      </c>
      <c r="P116" s="0" t="n">
        <f aca="false">IF(OR($C$6="Any",K116="Any",K116=$C$6),10,0)</f>
        <v>10</v>
      </c>
      <c r="Q116" s="0" t="n">
        <f aca="false">IF($C$8="",4,IF(AND(ISNUMBER(G116),ISNUMBER(H116)),IF(AND($C$8&gt;=G116,$C$8&lt;=H116),7,0),4))</f>
        <v>4</v>
      </c>
      <c r="R116" s="0" t="n">
        <f aca="false">M116+N116+O116+P116+Q116+V116+Y116</f>
        <v>70</v>
      </c>
      <c r="S116" s="0" t="n">
        <f aca="false">IF(OR(M116=0,W116=0),-A116,R116*100+D116+F116*0.5-A116*0.001)</f>
        <v>7008.018</v>
      </c>
      <c r="T116" s="0" t="str">
        <f aca="false">Treatments!M84</f>
        <v>Added  </v>
      </c>
      <c r="U116" s="0" t="s">
        <v>70</v>
      </c>
      <c r="V116" s="0" t="n">
        <f aca="false">IF(OR($C$11="Any",U116="Any",U116=$C$11),8,0)</f>
        <v>8</v>
      </c>
      <c r="W116" s="0" t="n">
        <f aca="false">IF(LEFT(Treatments!AD84,3)="Yes",1,0)</f>
        <v>1</v>
      </c>
      <c r="X116" s="0" t="str">
        <f aca="false">Treatments!AE84</f>
        <v>All crashes</v>
      </c>
      <c r="Y116" s="0" t="n">
        <f aca="false">IF($C$12="Any",5,IF($C$12=X116,5,IF(AND($C$12="Fatal &amp; injury only",X116="All crashes"),3,0)))</f>
        <v>5</v>
      </c>
      <c r="Z116" s="0" t="str">
        <f aca="false">Treatments!AE84&amp;" / "&amp;Treatments!AF84</f>
        <v>All crashes / All crash types</v>
      </c>
      <c r="AA116" s="0" t="str">
        <f aca="false">IF(OR(Treatments!AH84="Overstates",Treatments!AH84="Check"),UPPER(Treatments!AH84)&amp;": "&amp;Treatments!AI84&amp;". ","")&amp;IF(Treatments!AG84="","",Treatments!AG84)</f>
        <v>Study roads: Principal Arterial Other Freeways and Expressways, Principal Arterial Other, Minor Arterial, Major Collector. Not for collectors or locals (team). AADT tested: 21,000-69,000.</v>
      </c>
    </row>
    <row r="117" customFormat="false" ht="12.75" hidden="true" customHeight="false" outlineLevel="0" collapsed="false">
      <c r="A117" s="0" t="n">
        <v>83</v>
      </c>
      <c r="B117" s="0" t="str">
        <f aca="false">Treatments!A85</f>
        <v>Install Left-Turn Lane At Signalized Intersection</v>
      </c>
      <c r="C117" s="0" t="str">
        <f aca="false">Treatments!B85</f>
        <v>CM: Dedicated Left- Lanes at Intersections</v>
      </c>
      <c r="D117" s="0" t="n">
        <f aca="false">Treatments!Q85</f>
        <v>58.8</v>
      </c>
      <c r="E117" s="0" t="n">
        <f aca="false">Treatments!P85</f>
        <v>0.412</v>
      </c>
      <c r="F117" s="0" t="n">
        <f aca="false">IF(ISNUMBER(Treatments!N85),Treatments!N85,0)</f>
        <v>4</v>
      </c>
      <c r="G117" s="0" t="n">
        <f aca="false">IF(ISNUMBER(Treatments!U85),Treatments!U85,"")</f>
        <v>2981</v>
      </c>
      <c r="H117" s="0" t="n">
        <f aca="false">IF(ISNUMBER(Treatments!V85),Treatments!V85,"")</f>
        <v>18248</v>
      </c>
      <c r="I117" s="0" t="s">
        <v>72</v>
      </c>
      <c r="J117" s="0" t="s">
        <v>80</v>
      </c>
      <c r="K117" s="0" t="s">
        <v>22</v>
      </c>
      <c r="L117" s="0" t="s">
        <v>100</v>
      </c>
      <c r="M117" s="0" t="n">
        <f aca="false">IF(ISNUMBER(SEARCH("|"&amp;$C$7&amp;"|",L117)),45,IF(ISNUMBER(SEARCH("|All|",L117)),18,0))</f>
        <v>0</v>
      </c>
      <c r="N117" s="0" t="n">
        <f aca="false">IF(OR($C$4="Any",I117="All"),12,IF(ISNUMBER(SEARCH($C$4,I117)),12,0))</f>
        <v>12</v>
      </c>
      <c r="O117" s="0" t="n">
        <f aca="false">IF(OR($C$5="Any",J117="Any",J117=$C$5),13,0)</f>
        <v>13</v>
      </c>
      <c r="P117" s="0" t="n">
        <f aca="false">IF(OR($C$6="Any",K117="Any",K117=$C$6),10,0)</f>
        <v>10</v>
      </c>
      <c r="Q117" s="0" t="n">
        <f aca="false">IF($C$8="",4,IF(AND(ISNUMBER(G117),ISNUMBER(H117)),IF(AND($C$8&gt;=G117,$C$8&lt;=H117),7,0),4))</f>
        <v>4</v>
      </c>
      <c r="R117" s="0" t="n">
        <f aca="false">M117+N117+O117+P117+Q117+V117+Y117</f>
        <v>52</v>
      </c>
      <c r="S117" s="0" t="n">
        <f aca="false">IF(OR(M117=0,W117=0),-A117,R117*100+D117+F117*0.5-A117*0.001)</f>
        <v>-83</v>
      </c>
      <c r="T117" s="0" t="str">
        <f aca="false">Treatments!M85</f>
        <v>Added  </v>
      </c>
      <c r="U117" s="0" t="s">
        <v>22</v>
      </c>
      <c r="V117" s="0" t="n">
        <f aca="false">IF(OR($C$11="Any",U117="Any",U117=$C$11),8,0)</f>
        <v>8</v>
      </c>
      <c r="W117" s="0" t="n">
        <f aca="false">IF(LEFT(Treatments!AD85,3)="Yes",1,0)</f>
        <v>1</v>
      </c>
      <c r="X117" s="0" t="str">
        <f aca="false">Treatments!AE85</f>
        <v>All crashes</v>
      </c>
      <c r="Y117" s="0" t="n">
        <f aca="false">IF($C$12="Any",5,IF($C$12=X117,5,IF(AND($C$12="Fatal &amp; injury only",X117="All crashes"),3,0)))</f>
        <v>5</v>
      </c>
      <c r="Z117" s="0" t="str">
        <f aca="false">Treatments!AE85&amp;" / "&amp;Treatments!AF85</f>
        <v>All crashes / Only: Rear end</v>
      </c>
      <c r="AA117" s="0" t="str">
        <f aca="false">IF(OR(Treatments!AH85="Overstates",Treatments!AH85="Check"),UPPER(Treatments!AH85)&amp;": "&amp;Treatments!AI85&amp;". ","")&amp;IF(Treatments!AG85="","",Treatments!AG85)</f>
        <v>OVERSTATES: Rear-end only. AADT tested: 2,981-18,248.</v>
      </c>
    </row>
    <row r="118" customFormat="false" ht="12.75" hidden="true" customHeight="false" outlineLevel="0" collapsed="false">
      <c r="A118" s="0" t="n">
        <v>84</v>
      </c>
      <c r="B118" s="0" t="str">
        <f aca="false">Treatments!A86</f>
        <v>Provide A Left-Turn Lane On Both Major-Road Approaches</v>
      </c>
      <c r="C118" s="0" t="str">
        <f aca="false">Treatments!B86</f>
        <v>CM: Dedicated Left- Lanes at Intersections</v>
      </c>
      <c r="D118" s="0" t="n">
        <f aca="false">Treatments!Q86</f>
        <v>58</v>
      </c>
      <c r="E118" s="0" t="n">
        <f aca="false">Treatments!P86</f>
        <v>0.42</v>
      </c>
      <c r="F118" s="0" t="n">
        <f aca="false">IF(ISNUMBER(Treatments!N86),Treatments!N86,0)</f>
        <v>4</v>
      </c>
      <c r="G118" s="0" t="n">
        <f aca="false">IF(ISNUMBER(Treatments!U86),Treatments!U86,"")</f>
        <v>1500</v>
      </c>
      <c r="H118" s="0" t="n">
        <f aca="false">IF(ISNUMBER(Treatments!V86),Treatments!V86,"")</f>
        <v>32400</v>
      </c>
      <c r="I118" s="0" t="s">
        <v>73</v>
      </c>
      <c r="J118" s="0" t="s">
        <v>80</v>
      </c>
      <c r="K118" s="0" t="s">
        <v>22</v>
      </c>
      <c r="L118" s="0" t="s">
        <v>99</v>
      </c>
      <c r="M118" s="0" t="n">
        <f aca="false">IF(ISNUMBER(SEARCH("|"&amp;$C$7&amp;"|",L118)),45,IF(ISNUMBER(SEARCH("|All|",L118)),18,0))</f>
        <v>18</v>
      </c>
      <c r="N118" s="0" t="n">
        <f aca="false">IF(OR($C$4="Any",I118="All"),12,IF(ISNUMBER(SEARCH($C$4,I118)),12,0))</f>
        <v>12</v>
      </c>
      <c r="O118" s="0" t="n">
        <f aca="false">IF(OR($C$5="Any",J118="Any",J118=$C$5),13,0)</f>
        <v>13</v>
      </c>
      <c r="P118" s="0" t="n">
        <f aca="false">IF(OR($C$6="Any",K118="Any",K118=$C$6),10,0)</f>
        <v>10</v>
      </c>
      <c r="Q118" s="0" t="n">
        <f aca="false">IF($C$8="",4,IF(AND(ISNUMBER(G118),ISNUMBER(H118)),IF(AND($C$8&gt;=G118,$C$8&lt;=H118),7,0),4))</f>
        <v>4</v>
      </c>
      <c r="R118" s="0" t="n">
        <f aca="false">M118+N118+O118+P118+Q118+V118+Y118</f>
        <v>70</v>
      </c>
      <c r="S118" s="0" t="n">
        <f aca="false">IF(OR(M118=0,W118=0),-A118,R118*100+D118+F118*0.5-A118*0.001)</f>
        <v>7059.916</v>
      </c>
      <c r="T118" s="0" t="str">
        <f aca="false">Treatments!M86</f>
        <v>Added  </v>
      </c>
      <c r="U118" s="0" t="s">
        <v>22</v>
      </c>
      <c r="V118" s="0" t="n">
        <f aca="false">IF(OR($C$11="Any",U118="Any",U118=$C$11),8,0)</f>
        <v>8</v>
      </c>
      <c r="W118" s="0" t="n">
        <f aca="false">IF(LEFT(Treatments!AD86,3)="Yes",1,0)</f>
        <v>1</v>
      </c>
      <c r="X118" s="0" t="str">
        <f aca="false">Treatments!AE86</f>
        <v>Fatal &amp; injury only</v>
      </c>
      <c r="Y118" s="0" t="n">
        <f aca="false">IF($C$12="Any",5,IF($C$12=X118,5,IF(AND($C$12="Fatal &amp; injury only",X118="All crashes"),3,0)))</f>
        <v>5</v>
      </c>
      <c r="Z118" s="0" t="str">
        <f aca="false">Treatments!AE86&amp;" / "&amp;Treatments!AF86</f>
        <v>Fatal &amp; injury only / All crash types</v>
      </c>
      <c r="AA118" s="0" t="str">
        <f aca="false">IF(OR(Treatments!AH86="Overstates",Treatments!AH86="Check"),UPPER(Treatments!AH86)&amp;": "&amp;Treatments!AI86&amp;". ","")&amp;IF(Treatments!AG86="","",Treatments!AG86)</f>
        <v>AADT tested: 1,500-32,400.</v>
      </c>
    </row>
    <row r="119" customFormat="false" ht="12.75" hidden="true" customHeight="false" outlineLevel="0" collapsed="false">
      <c r="A119" s="0" t="n">
        <v>85</v>
      </c>
      <c r="B119" s="0" t="str">
        <f aca="false">Treatments!A87</f>
        <v>Provide A Left-Turn Lane On One Major-Road Approach</v>
      </c>
      <c r="C119" s="0" t="str">
        <f aca="false">Treatments!B87</f>
        <v>CM: Dedicated Left- Lanes at Intersections</v>
      </c>
      <c r="D119" s="0" t="n">
        <f aca="false">Treatments!Q87</f>
        <v>55</v>
      </c>
      <c r="E119" s="0" t="n">
        <f aca="false">Treatments!P87</f>
        <v>0.45</v>
      </c>
      <c r="F119" s="0" t="n">
        <f aca="false">IF(ISNUMBER(Treatments!N87),Treatments!N87,0)</f>
        <v>4</v>
      </c>
      <c r="G119" s="0" t="n">
        <f aca="false">IF(ISNUMBER(Treatments!U87),Treatments!U87,"")</f>
        <v>1600</v>
      </c>
      <c r="H119" s="0" t="n">
        <f aca="false">IF(ISNUMBER(Treatments!V87),Treatments!V87,"")</f>
        <v>32400</v>
      </c>
      <c r="I119" s="0" t="s">
        <v>73</v>
      </c>
      <c r="J119" s="0" t="s">
        <v>80</v>
      </c>
      <c r="K119" s="0" t="s">
        <v>22</v>
      </c>
      <c r="L119" s="0" t="s">
        <v>99</v>
      </c>
      <c r="M119" s="0" t="n">
        <f aca="false">IF(ISNUMBER(SEARCH("|"&amp;$C$7&amp;"|",L119)),45,IF(ISNUMBER(SEARCH("|All|",L119)),18,0))</f>
        <v>18</v>
      </c>
      <c r="N119" s="0" t="n">
        <f aca="false">IF(OR($C$4="Any",I119="All"),12,IF(ISNUMBER(SEARCH($C$4,I119)),12,0))</f>
        <v>12</v>
      </c>
      <c r="O119" s="0" t="n">
        <f aca="false">IF(OR($C$5="Any",J119="Any",J119=$C$5),13,0)</f>
        <v>13</v>
      </c>
      <c r="P119" s="0" t="n">
        <f aca="false">IF(OR($C$6="Any",K119="Any",K119=$C$6),10,0)</f>
        <v>10</v>
      </c>
      <c r="Q119" s="0" t="n">
        <f aca="false">IF($C$8="",4,IF(AND(ISNUMBER(G119),ISNUMBER(H119)),IF(AND($C$8&gt;=G119,$C$8&lt;=H119),7,0),4))</f>
        <v>4</v>
      </c>
      <c r="R119" s="0" t="n">
        <f aca="false">M119+N119+O119+P119+Q119+V119+Y119</f>
        <v>70</v>
      </c>
      <c r="S119" s="0" t="n">
        <f aca="false">IF(OR(M119=0,W119=0),-A119,R119*100+D119+F119*0.5-A119*0.001)</f>
        <v>7056.915</v>
      </c>
      <c r="T119" s="0" t="str">
        <f aca="false">Treatments!M87</f>
        <v>Added  </v>
      </c>
      <c r="U119" s="0" t="s">
        <v>22</v>
      </c>
      <c r="V119" s="0" t="n">
        <f aca="false">IF(OR($C$11="Any",U119="Any",U119=$C$11),8,0)</f>
        <v>8</v>
      </c>
      <c r="W119" s="0" t="n">
        <f aca="false">IF(LEFT(Treatments!AD87,3)="Yes",1,0)</f>
        <v>1</v>
      </c>
      <c r="X119" s="0" t="str">
        <f aca="false">Treatments!AE87</f>
        <v>Fatal &amp; injury only</v>
      </c>
      <c r="Y119" s="0" t="n">
        <f aca="false">IF($C$12="Any",5,IF($C$12=X119,5,IF(AND($C$12="Fatal &amp; injury only",X119="All crashes"),3,0)))</f>
        <v>5</v>
      </c>
      <c r="Z119" s="0" t="str">
        <f aca="false">Treatments!AE87&amp;" / "&amp;Treatments!AF87</f>
        <v>Fatal &amp; injury only / All crash types</v>
      </c>
      <c r="AA119" s="0" t="str">
        <f aca="false">IF(OR(Treatments!AH87="Overstates",Treatments!AH87="Check"),UPPER(Treatments!AH87)&amp;": "&amp;Treatments!AI87&amp;". ","")&amp;IF(Treatments!AG87="","",Treatments!AG87)</f>
        <v>AADT tested: 1,600-32,400.</v>
      </c>
    </row>
    <row r="120" customFormat="false" ht="12.75" hidden="true" customHeight="false" outlineLevel="0" collapsed="false">
      <c r="A120" s="0" t="n">
        <v>86</v>
      </c>
      <c r="B120" s="0" t="str">
        <f aca="false">Treatments!A88</f>
        <v>Introducing Zero Or Positive Offset Left-Turn Lane On Crossing Roadway</v>
      </c>
      <c r="C120" s="0" t="str">
        <f aca="false">Treatments!B88</f>
        <v>CM: Dedicated Left- Lanes at Intersections</v>
      </c>
      <c r="D120" s="0" t="n">
        <f aca="false">Treatments!Q88</f>
        <v>26</v>
      </c>
      <c r="E120" s="0" t="n">
        <f aca="false">Treatments!P88</f>
        <v>0.74</v>
      </c>
      <c r="F120" s="0" t="n">
        <f aca="false">IF(ISNUMBER(Treatments!N88),Treatments!N88,0)</f>
        <v>4</v>
      </c>
      <c r="G120" s="0" t="str">
        <f aca="false">IF(ISNUMBER(Treatments!U88),Treatments!U88,"")</f>
        <v/>
      </c>
      <c r="H120" s="0" t="str">
        <f aca="false">IF(ISNUMBER(Treatments!V88),Treatments!V88,"")</f>
        <v/>
      </c>
      <c r="I120" s="0" t="s">
        <v>67</v>
      </c>
      <c r="J120" s="0" t="s">
        <v>80</v>
      </c>
      <c r="K120" s="0" t="s">
        <v>22</v>
      </c>
      <c r="L120" s="0" t="s">
        <v>100</v>
      </c>
      <c r="M120" s="0" t="n">
        <f aca="false">IF(ISNUMBER(SEARCH("|"&amp;$C$7&amp;"|",L120)),45,IF(ISNUMBER(SEARCH("|All|",L120)),18,0))</f>
        <v>0</v>
      </c>
      <c r="N120" s="0" t="n">
        <f aca="false">IF(OR($C$4="Any",I120="All"),12,IF(ISNUMBER(SEARCH($C$4,I120)),12,0))</f>
        <v>12</v>
      </c>
      <c r="O120" s="0" t="n">
        <f aca="false">IF(OR($C$5="Any",J120="Any",J120=$C$5),13,0)</f>
        <v>13</v>
      </c>
      <c r="P120" s="0" t="n">
        <f aca="false">IF(OR($C$6="Any",K120="Any",K120=$C$6),10,0)</f>
        <v>10</v>
      </c>
      <c r="Q120" s="0" t="n">
        <f aca="false">IF($C$8="",4,IF(AND(ISNUMBER(G120),ISNUMBER(H120)),IF(AND($C$8&gt;=G120,$C$8&lt;=H120),7,0),4))</f>
        <v>4</v>
      </c>
      <c r="R120" s="0" t="n">
        <f aca="false">M120+N120+O120+P120+Q120+V120+Y120</f>
        <v>52</v>
      </c>
      <c r="S120" s="0" t="n">
        <f aca="false">IF(OR(M120=0,W120=0),-A120,R120*100+D120+F120*0.5-A120*0.001)</f>
        <v>-86</v>
      </c>
      <c r="T120" s="0" t="str">
        <f aca="false">Treatments!M88</f>
        <v>Added  </v>
      </c>
      <c r="U120" s="0" t="s">
        <v>22</v>
      </c>
      <c r="V120" s="0" t="n">
        <f aca="false">IF(OR($C$11="Any",U120="Any",U120=$C$11),8,0)</f>
        <v>8</v>
      </c>
      <c r="W120" s="0" t="n">
        <f aca="false">IF(LEFT(Treatments!AD88,3)="Yes",1,0)</f>
        <v>1</v>
      </c>
      <c r="X120" s="0" t="str">
        <f aca="false">Treatments!AE88</f>
        <v>All crashes</v>
      </c>
      <c r="Y120" s="0" t="n">
        <f aca="false">IF($C$12="Any",5,IF($C$12=X120,5,IF(AND($C$12="Fatal &amp; injury only",X120="All crashes"),3,0)))</f>
        <v>5</v>
      </c>
      <c r="Z120" s="0" t="str">
        <f aca="false">Treatments!AE88&amp;" / "&amp;Treatments!AF88</f>
        <v>All crashes / Only: Angle</v>
      </c>
      <c r="AA120" s="0" t="str">
        <f aca="false">IF(OR(Treatments!AH88="Overstates",Treatments!AH88="Check"),UPPER(Treatments!AH88)&amp;": "&amp;Treatments!AI88&amp;". ","")&amp;IF(Treatments!AG88="","",Treatments!AG88)</f>
        <v>OVERSTATES: Angle only. No AADT range in the study.</v>
      </c>
    </row>
    <row r="121" customFormat="false" ht="12.75" hidden="true" customHeight="false" outlineLevel="0" collapsed="false">
      <c r="A121" s="0" t="n">
        <v>87</v>
      </c>
      <c r="B121" s="0" t="str">
        <f aca="false">Treatments!A89</f>
        <v>Install J-Turn Intersection</v>
      </c>
      <c r="C121" s="0" t="str">
        <f aca="false">Treatments!B89</f>
        <v>CM: Reduced Left-Turn Conflict Intersections</v>
      </c>
      <c r="D121" s="0" t="n">
        <f aca="false">Treatments!Q89</f>
        <v>53.7</v>
      </c>
      <c r="E121" s="0" t="n">
        <f aca="false">Treatments!P89</f>
        <v>0.463</v>
      </c>
      <c r="F121" s="0" t="n">
        <f aca="false">IF(ISNUMBER(Treatments!N89),Treatments!N89,0)</f>
        <v>2</v>
      </c>
      <c r="G121" s="0" t="n">
        <f aca="false">IF(ISNUMBER(Treatments!U89),Treatments!U89,"")</f>
        <v>10326</v>
      </c>
      <c r="H121" s="0" t="n">
        <f aca="false">IF(ISNUMBER(Treatments!V89),Treatments!V89,"")</f>
        <v>26470</v>
      </c>
      <c r="I121" s="0" t="s">
        <v>73</v>
      </c>
      <c r="J121" s="0" t="s">
        <v>80</v>
      </c>
      <c r="K121" s="0" t="s">
        <v>22</v>
      </c>
      <c r="L121" s="0" t="s">
        <v>99</v>
      </c>
      <c r="M121" s="0" t="n">
        <f aca="false">IF(ISNUMBER(SEARCH("|"&amp;$C$7&amp;"|",L121)),45,IF(ISNUMBER(SEARCH("|All|",L121)),18,0))</f>
        <v>18</v>
      </c>
      <c r="N121" s="0" t="n">
        <f aca="false">IF(OR($C$4="Any",I121="All"),12,IF(ISNUMBER(SEARCH($C$4,I121)),12,0))</f>
        <v>12</v>
      </c>
      <c r="O121" s="0" t="n">
        <f aca="false">IF(OR($C$5="Any",J121="Any",J121=$C$5),13,0)</f>
        <v>13</v>
      </c>
      <c r="P121" s="0" t="n">
        <f aca="false">IF(OR($C$6="Any",K121="Any",K121=$C$6),10,0)</f>
        <v>10</v>
      </c>
      <c r="Q121" s="0" t="n">
        <f aca="false">IF($C$8="",4,IF(AND(ISNUMBER(G121),ISNUMBER(H121)),IF(AND($C$8&gt;=G121,$C$8&lt;=H121),7,0),4))</f>
        <v>4</v>
      </c>
      <c r="R121" s="0" t="n">
        <f aca="false">M121+N121+O121+P121+Q121+V121+Y121</f>
        <v>70</v>
      </c>
      <c r="S121" s="0" t="n">
        <f aca="false">IF(OR(M121=0,W121=0),-A121,R121*100+D121+F121*0.5-A121*0.001)</f>
        <v>7054.613</v>
      </c>
      <c r="T121" s="0" t="str">
        <f aca="false">Treatments!M89</f>
        <v>Original </v>
      </c>
      <c r="U121" s="0" t="s">
        <v>70</v>
      </c>
      <c r="V121" s="0" t="n">
        <f aca="false">IF(OR($C$11="Any",U121="Any",U121=$C$11),8,0)</f>
        <v>8</v>
      </c>
      <c r="W121" s="0" t="n">
        <f aca="false">IF(LEFT(Treatments!AD89,3)="Yes",1,0)</f>
        <v>1</v>
      </c>
      <c r="X121" s="0" t="str">
        <f aca="false">Treatments!AE89</f>
        <v>Fatal &amp; injury only</v>
      </c>
      <c r="Y121" s="0" t="n">
        <f aca="false">IF($C$12="Any",5,IF($C$12=X121,5,IF(AND($C$12="Fatal &amp; injury only",X121="All crashes"),3,0)))</f>
        <v>5</v>
      </c>
      <c r="Z121" s="0" t="str">
        <f aca="false">Treatments!AE89&amp;" / "&amp;Treatments!AF89</f>
        <v>Fatal &amp; injury only / All crash types</v>
      </c>
      <c r="AA121" s="0" t="str">
        <f aca="false">IF(OR(Treatments!AH89="Overstates",Treatments!AH89="Check"),UPPER(Treatments!AH89)&amp;": "&amp;Treatments!AI89&amp;". ","")&amp;IF(Treatments!AG89="","",Treatments!AG89)</f>
        <v>Study roads: Principal Arterial Other Freeways and Expressways. Not for collectors or locals (team). AADT tested: 10,326-26,470.</v>
      </c>
    </row>
    <row r="122" customFormat="false" ht="12.75" hidden="true" customHeight="false" outlineLevel="0" collapsed="false">
      <c r="A122" s="0" t="n">
        <v>88</v>
      </c>
      <c r="B122" s="0" t="str">
        <f aca="false">Treatments!A90</f>
        <v>Convert A Conventional Signalized Intersection To A Signalized Superstreet</v>
      </c>
      <c r="C122" s="0" t="str">
        <f aca="false">Treatments!B90</f>
        <v>CM: Reduced Left-Turn Conflict Intersections</v>
      </c>
      <c r="D122" s="0" t="n">
        <f aca="false">Treatments!Q90</f>
        <v>22</v>
      </c>
      <c r="E122" s="0" t="n">
        <f aca="false">Treatments!P90</f>
        <v>0.78</v>
      </c>
      <c r="F122" s="0" t="n">
        <f aca="false">IF(ISNUMBER(Treatments!N90),Treatments!N90,0)</f>
        <v>3</v>
      </c>
      <c r="G122" s="0" t="str">
        <f aca="false">IF(ISNUMBER(Treatments!U90),Treatments!U90,"")</f>
        <v/>
      </c>
      <c r="H122" s="0" t="str">
        <f aca="false">IF(ISNUMBER(Treatments!V90),Treatments!V90,"")</f>
        <v/>
      </c>
      <c r="I122" s="0" t="s">
        <v>77</v>
      </c>
      <c r="J122" s="0" t="s">
        <v>80</v>
      </c>
      <c r="K122" s="0" t="s">
        <v>22</v>
      </c>
      <c r="L122" s="0" t="s">
        <v>99</v>
      </c>
      <c r="M122" s="0" t="n">
        <f aca="false">IF(ISNUMBER(SEARCH("|"&amp;$C$7&amp;"|",L122)),45,IF(ISNUMBER(SEARCH("|All|",L122)),18,0))</f>
        <v>18</v>
      </c>
      <c r="N122" s="0" t="n">
        <f aca="false">IF(OR($C$4="Any",I122="All"),12,IF(ISNUMBER(SEARCH($C$4,I122)),12,0))</f>
        <v>12</v>
      </c>
      <c r="O122" s="0" t="n">
        <f aca="false">IF(OR($C$5="Any",J122="Any",J122=$C$5),13,0)</f>
        <v>13</v>
      </c>
      <c r="P122" s="0" t="n">
        <f aca="false">IF(OR($C$6="Any",K122="Any",K122=$C$6),10,0)</f>
        <v>10</v>
      </c>
      <c r="Q122" s="0" t="n">
        <f aca="false">IF($C$8="",4,IF(AND(ISNUMBER(G122),ISNUMBER(H122)),IF(AND($C$8&gt;=G122,$C$8&lt;=H122),7,0),4))</f>
        <v>4</v>
      </c>
      <c r="R122" s="0" t="n">
        <f aca="false">M122+N122+O122+P122+Q122+V122+Y122</f>
        <v>70</v>
      </c>
      <c r="S122" s="0" t="n">
        <f aca="false">IF(OR(M122=0,W122=0),-A122,R122*100+D122+F122*0.5-A122*0.001)</f>
        <v>7023.412</v>
      </c>
      <c r="T122" s="0" t="str">
        <f aca="false">Treatments!M90</f>
        <v>Original </v>
      </c>
      <c r="U122" s="0" t="s">
        <v>71</v>
      </c>
      <c r="V122" s="0" t="n">
        <f aca="false">IF(OR($C$11="Any",U122="Any",U122=$C$11),8,0)</f>
        <v>8</v>
      </c>
      <c r="W122" s="0" t="n">
        <f aca="false">IF(LEFT(Treatments!AD90,3)="Yes",1,0)</f>
        <v>1</v>
      </c>
      <c r="X122" s="0" t="str">
        <f aca="false">Treatments!AE90</f>
        <v>Fatal &amp; injury only</v>
      </c>
      <c r="Y122" s="0" t="n">
        <f aca="false">IF($C$12="Any",5,IF($C$12=X122,5,IF(AND($C$12="Fatal &amp; injury only",X122="All crashes"),3,0)))</f>
        <v>5</v>
      </c>
      <c r="Z122" s="0" t="str">
        <f aca="false">Treatments!AE90&amp;" / "&amp;Treatments!AF90</f>
        <v>Fatal &amp; injury only / All crash types</v>
      </c>
      <c r="AA122" s="0" t="str">
        <f aca="false">IF(OR(Treatments!AH90="Overstates",Treatments!AH90="Check"),UPPER(Treatments!AH90)&amp;": "&amp;Treatments!AI90&amp;". ","")&amp;IF(Treatments!AG90="","",Treatments!AG90)</f>
        <v>No AADT range in the study.</v>
      </c>
    </row>
    <row r="123" customFormat="false" ht="12.75" hidden="true" customHeight="false" outlineLevel="0" collapsed="false">
      <c r="A123" s="0" t="n">
        <v>89</v>
      </c>
      <c r="B123" s="0" t="str">
        <f aca="false">Treatments!A91</f>
        <v>Convert Intersection To Median U-Turn (Mut) Intersection</v>
      </c>
      <c r="C123" s="0" t="str">
        <f aca="false">Treatments!B91</f>
        <v>CM: Reduced Left-Turn Conflict Intersections</v>
      </c>
      <c r="D123" s="0" t="n">
        <f aca="false">Treatments!Q91</f>
        <v>29.7</v>
      </c>
      <c r="E123" s="0" t="n">
        <f aca="false">Treatments!P91</f>
        <v>0.7029</v>
      </c>
      <c r="F123" s="0" t="n">
        <f aca="false">IF(ISNUMBER(Treatments!N91),Treatments!N91,0)</f>
        <v>5</v>
      </c>
      <c r="G123" s="0" t="n">
        <f aca="false">IF(ISNUMBER(Treatments!U91),Treatments!U91,"")</f>
        <v>19267</v>
      </c>
      <c r="H123" s="0" t="n">
        <f aca="false">IF(ISNUMBER(Treatments!V91),Treatments!V91,"")</f>
        <v>72074</v>
      </c>
      <c r="I123" s="0" t="s">
        <v>77</v>
      </c>
      <c r="J123" s="0" t="s">
        <v>80</v>
      </c>
      <c r="K123" s="0" t="s">
        <v>22</v>
      </c>
      <c r="L123" s="0" t="s">
        <v>99</v>
      </c>
      <c r="M123" s="0" t="n">
        <f aca="false">IF(ISNUMBER(SEARCH("|"&amp;$C$7&amp;"|",L123)),45,IF(ISNUMBER(SEARCH("|All|",L123)),18,0))</f>
        <v>18</v>
      </c>
      <c r="N123" s="0" t="n">
        <f aca="false">IF(OR($C$4="Any",I123="All"),12,IF(ISNUMBER(SEARCH($C$4,I123)),12,0))</f>
        <v>12</v>
      </c>
      <c r="O123" s="0" t="n">
        <f aca="false">IF(OR($C$5="Any",J123="Any",J123=$C$5),13,0)</f>
        <v>13</v>
      </c>
      <c r="P123" s="0" t="n">
        <f aca="false">IF(OR($C$6="Any",K123="Any",K123=$C$6),10,0)</f>
        <v>10</v>
      </c>
      <c r="Q123" s="0" t="n">
        <f aca="false">IF($C$8="",4,IF(AND(ISNUMBER(G123),ISNUMBER(H123)),IF(AND($C$8&gt;=G123,$C$8&lt;=H123),7,0),4))</f>
        <v>4</v>
      </c>
      <c r="R123" s="0" t="n">
        <f aca="false">M123+N123+O123+P123+Q123+V123+Y123</f>
        <v>70</v>
      </c>
      <c r="S123" s="0" t="n">
        <f aca="false">IF(OR(M123=0,W123=0),-A123,R123*100+D123+F123*0.5-A123*0.001)</f>
        <v>7032.111</v>
      </c>
      <c r="T123" s="0" t="str">
        <f aca="false">Treatments!M91</f>
        <v>Original </v>
      </c>
      <c r="U123" s="0" t="s">
        <v>22</v>
      </c>
      <c r="V123" s="0" t="n">
        <f aca="false">IF(OR($C$11="Any",U123="Any",U123=$C$11),8,0)</f>
        <v>8</v>
      </c>
      <c r="W123" s="0" t="n">
        <f aca="false">IF(LEFT(Treatments!AD91,3)="Yes",1,0)</f>
        <v>1</v>
      </c>
      <c r="X123" s="0" t="str">
        <f aca="false">Treatments!AE91</f>
        <v>Fatal &amp; injury only</v>
      </c>
      <c r="Y123" s="0" t="n">
        <f aca="false">IF($C$12="Any",5,IF($C$12=X123,5,IF(AND($C$12="Fatal &amp; injury only",X123="All crashes"),3,0)))</f>
        <v>5</v>
      </c>
      <c r="Z123" s="0" t="str">
        <f aca="false">Treatments!AE91&amp;" / "&amp;Treatments!AF91</f>
        <v>Fatal &amp; injury only / All crash types</v>
      </c>
      <c r="AA123" s="0" t="str">
        <f aca="false">IF(OR(Treatments!AH91="Overstates",Treatments!AH91="Check"),UPPER(Treatments!AH91)&amp;": "&amp;Treatments!AI91&amp;". ","")&amp;IF(Treatments!AG91="","",Treatments!AG91)</f>
        <v>AADT tested: 19,267-72,074.</v>
      </c>
    </row>
    <row r="124" customFormat="false" ht="12.75" hidden="true" customHeight="false" outlineLevel="0" collapsed="false">
      <c r="A124" s="0" t="n">
        <v>90</v>
      </c>
      <c r="B124" s="0" t="str">
        <f aca="false">Treatments!A92</f>
        <v>Convert A Conventional Signalized Intersection To A Continuous Flow Intersection (Cfi)</v>
      </c>
      <c r="C124" s="0" t="str">
        <f aca="false">Treatments!B92</f>
        <v>CM: Reduced Left-Turn Conflict Intersections</v>
      </c>
      <c r="D124" s="0" t="n">
        <f aca="false">Treatments!Q92</f>
        <v>29.4</v>
      </c>
      <c r="E124" s="0" t="n">
        <f aca="false">Treatments!P92</f>
        <v>0.706</v>
      </c>
      <c r="F124" s="0" t="n">
        <f aca="false">IF(ISNUMBER(Treatments!N92),Treatments!N92,0)</f>
        <v>5</v>
      </c>
      <c r="G124" s="0" t="n">
        <f aca="false">IF(ISNUMBER(Treatments!U92),Treatments!U92,"")</f>
        <v>21740</v>
      </c>
      <c r="H124" s="0" t="n">
        <f aca="false">IF(ISNUMBER(Treatments!V92),Treatments!V92,"")</f>
        <v>64000</v>
      </c>
      <c r="I124" s="0" t="s">
        <v>72</v>
      </c>
      <c r="J124" s="0" t="s">
        <v>80</v>
      </c>
      <c r="K124" s="0" t="s">
        <v>22</v>
      </c>
      <c r="L124" s="0" t="s">
        <v>100</v>
      </c>
      <c r="M124" s="0" t="n">
        <f aca="false">IF(ISNUMBER(SEARCH("|"&amp;$C$7&amp;"|",L124)),45,IF(ISNUMBER(SEARCH("|All|",L124)),18,0))</f>
        <v>0</v>
      </c>
      <c r="N124" s="0" t="n">
        <f aca="false">IF(OR($C$4="Any",I124="All"),12,IF(ISNUMBER(SEARCH($C$4,I124)),12,0))</f>
        <v>12</v>
      </c>
      <c r="O124" s="0" t="n">
        <f aca="false">IF(OR($C$5="Any",J124="Any",J124=$C$5),13,0)</f>
        <v>13</v>
      </c>
      <c r="P124" s="0" t="n">
        <f aca="false">IF(OR($C$6="Any",K124="Any",K124=$C$6),10,0)</f>
        <v>10</v>
      </c>
      <c r="Q124" s="0" t="n">
        <f aca="false">IF($C$8="",4,IF(AND(ISNUMBER(G124),ISNUMBER(H124)),IF(AND($C$8&gt;=G124,$C$8&lt;=H124),7,0),4))</f>
        <v>4</v>
      </c>
      <c r="R124" s="0" t="n">
        <f aca="false">M124+N124+O124+P124+Q124+V124+Y124</f>
        <v>52</v>
      </c>
      <c r="S124" s="0" t="n">
        <f aca="false">IF(OR(M124=0,W124=0),-A124,R124*100+D124+F124*0.5-A124*0.001)</f>
        <v>-90</v>
      </c>
      <c r="T124" s="0" t="str">
        <f aca="false">Treatments!M92</f>
        <v>Added  </v>
      </c>
      <c r="U124" s="0" t="s">
        <v>22</v>
      </c>
      <c r="V124" s="0" t="n">
        <f aca="false">IF(OR($C$11="Any",U124="Any",U124=$C$11),8,0)</f>
        <v>8</v>
      </c>
      <c r="W124" s="0" t="n">
        <f aca="false">IF(LEFT(Treatments!AD92,3)="Yes",1,0)</f>
        <v>1</v>
      </c>
      <c r="X124" s="0" t="str">
        <f aca="false">Treatments!AE92</f>
        <v>All crashes</v>
      </c>
      <c r="Y124" s="0" t="n">
        <f aca="false">IF($C$12="Any",5,IF($C$12=X124,5,IF(AND($C$12="Fatal &amp; injury only",X124="All crashes"),3,0)))</f>
        <v>5</v>
      </c>
      <c r="Z124" s="0" t="str">
        <f aca="false">Treatments!AE92&amp;" / "&amp;Treatments!AF92</f>
        <v>All crashes / Only: Angle</v>
      </c>
      <c r="AA124" s="0" t="str">
        <f aca="false">IF(OR(Treatments!AH92="Overstates",Treatments!AH92="Check"),UPPER(Treatments!AH92)&amp;": "&amp;Treatments!AI92&amp;". ","")&amp;IF(Treatments!AG92="","",Treatments!AG92)</f>
        <v>OVERSTATES: Angle only. AADT tested: 21,740-64,000.</v>
      </c>
    </row>
    <row r="125" customFormat="false" ht="12.75" hidden="true" customHeight="false" outlineLevel="0" collapsed="false">
      <c r="A125" s="0" t="n">
        <v>91</v>
      </c>
      <c r="B125" s="0" t="str">
        <f aca="false">Treatments!A93</f>
        <v>Convert Intersection To Restricted Crossing U-Turn (RCUT) Intersection</v>
      </c>
      <c r="C125" s="0" t="str">
        <f aca="false">Treatments!B93</f>
        <v>CM: Reduced Left-Turn Conflict Intersections</v>
      </c>
      <c r="D125" s="0" t="n">
        <f aca="false">Treatments!Q93</f>
        <v>58</v>
      </c>
      <c r="E125" s="0" t="n">
        <f aca="false">Treatments!P93</f>
        <v>0.42</v>
      </c>
      <c r="F125" s="0" t="n">
        <f aca="false">IF(ISNUMBER(Treatments!N93),Treatments!N93,0)</f>
        <v>4</v>
      </c>
      <c r="G125" s="0" t="n">
        <f aca="false">IF(ISNUMBER(Treatments!U93),Treatments!U93,"")</f>
        <v>59833</v>
      </c>
      <c r="H125" s="0" t="n">
        <f aca="false">IF(ISNUMBER(Treatments!V93),Treatments!V93,"")</f>
        <v>59833</v>
      </c>
      <c r="I125" s="0" t="s">
        <v>72</v>
      </c>
      <c r="J125" s="0" t="s">
        <v>80</v>
      </c>
      <c r="K125" s="0" t="s">
        <v>22</v>
      </c>
      <c r="L125" s="0" t="s">
        <v>99</v>
      </c>
      <c r="M125" s="0" t="n">
        <f aca="false">IF(ISNUMBER(SEARCH("|"&amp;$C$7&amp;"|",L125)),45,IF(ISNUMBER(SEARCH("|All|",L125)),18,0))</f>
        <v>18</v>
      </c>
      <c r="N125" s="0" t="n">
        <f aca="false">IF(OR($C$4="Any",I125="All"),12,IF(ISNUMBER(SEARCH($C$4,I125)),12,0))</f>
        <v>12</v>
      </c>
      <c r="O125" s="0" t="n">
        <f aca="false">IF(OR($C$5="Any",J125="Any",J125=$C$5),13,0)</f>
        <v>13</v>
      </c>
      <c r="P125" s="0" t="n">
        <f aca="false">IF(OR($C$6="Any",K125="Any",K125=$C$6),10,0)</f>
        <v>10</v>
      </c>
      <c r="Q125" s="0" t="n">
        <f aca="false">IF($C$8="",4,IF(AND(ISNUMBER(G125),ISNUMBER(H125)),IF(AND($C$8&gt;=G125,$C$8&lt;=H125),7,0),4))</f>
        <v>4</v>
      </c>
      <c r="R125" s="0" t="n">
        <f aca="false">M125+N125+O125+P125+Q125+V125+Y125</f>
        <v>70</v>
      </c>
      <c r="S125" s="0" t="n">
        <f aca="false">IF(OR(M125=0,W125=0),-A125,R125*100+D125+F125*0.5-A125*0.001)</f>
        <v>7059.909</v>
      </c>
      <c r="T125" s="0" t="str">
        <f aca="false">Treatments!M93</f>
        <v>Added  </v>
      </c>
      <c r="U125" s="0" t="s">
        <v>22</v>
      </c>
      <c r="V125" s="0" t="n">
        <f aca="false">IF(OR($C$11="Any",U125="Any",U125=$C$11),8,0)</f>
        <v>8</v>
      </c>
      <c r="W125" s="0" t="n">
        <f aca="false">IF(LEFT(Treatments!AD93,3)="Yes",1,0)</f>
        <v>1</v>
      </c>
      <c r="X125" s="0" t="str">
        <f aca="false">Treatments!AE93</f>
        <v>All crashes</v>
      </c>
      <c r="Y125" s="0" t="n">
        <f aca="false">IF($C$12="Any",5,IF($C$12=X125,5,IF(AND($C$12="Fatal &amp; injury only",X125="All crashes"),3,0)))</f>
        <v>5</v>
      </c>
      <c r="Z125" s="0" t="str">
        <f aca="false">Treatments!AE93&amp;" / "&amp;Treatments!AF93</f>
        <v>All crashes / All crash types</v>
      </c>
      <c r="AA125" s="0" t="str">
        <f aca="false">IF(OR(Treatments!AH93="Overstates",Treatments!AH93="Check"),UPPER(Treatments!AH93)&amp;": "&amp;Treatments!AI93&amp;". ","")&amp;IF(Treatments!AG93="","",Treatments!AG93)</f>
        <v>AADT tested: 59,833-59,833.</v>
      </c>
    </row>
    <row r="126" customFormat="false" ht="12.75" hidden="true" customHeight="false" outlineLevel="0" collapsed="false">
      <c r="A126" s="0" t="n">
        <v>92</v>
      </c>
      <c r="B126" s="0" t="str">
        <f aca="false">Treatments!A94</f>
        <v>Convert Intersection To Median U-Turn (MUT) Intersection</v>
      </c>
      <c r="C126" s="0" t="str">
        <f aca="false">Treatments!B94</f>
        <v>CM: Reduced Left-Turn Conflict Intersections</v>
      </c>
      <c r="D126" s="0" t="n">
        <f aca="false">Treatments!Q94</f>
        <v>82.8</v>
      </c>
      <c r="E126" s="0" t="n">
        <f aca="false">Treatments!P94</f>
        <v>0.1719</v>
      </c>
      <c r="F126" s="0" t="n">
        <f aca="false">IF(ISNUMBER(Treatments!N94),Treatments!N94,0)</f>
        <v>5</v>
      </c>
      <c r="G126" s="0" t="n">
        <f aca="false">IF(ISNUMBER(Treatments!U94),Treatments!U94,"")</f>
        <v>25512</v>
      </c>
      <c r="H126" s="0" t="n">
        <f aca="false">IF(ISNUMBER(Treatments!V94),Treatments!V94,"")</f>
        <v>85076</v>
      </c>
      <c r="I126" s="0" t="s">
        <v>77</v>
      </c>
      <c r="J126" s="0" t="s">
        <v>80</v>
      </c>
      <c r="K126" s="0" t="s">
        <v>22</v>
      </c>
      <c r="L126" s="0" t="s">
        <v>100</v>
      </c>
      <c r="M126" s="0" t="n">
        <f aca="false">IF(ISNUMBER(SEARCH("|"&amp;$C$7&amp;"|",L126)),45,IF(ISNUMBER(SEARCH("|All|",L126)),18,0))</f>
        <v>0</v>
      </c>
      <c r="N126" s="0" t="n">
        <f aca="false">IF(OR($C$4="Any",I126="All"),12,IF(ISNUMBER(SEARCH($C$4,I126)),12,0))</f>
        <v>12</v>
      </c>
      <c r="O126" s="0" t="n">
        <f aca="false">IF(OR($C$5="Any",J126="Any",J126=$C$5),13,0)</f>
        <v>13</v>
      </c>
      <c r="P126" s="0" t="n">
        <f aca="false">IF(OR($C$6="Any",K126="Any",K126=$C$6),10,0)</f>
        <v>10</v>
      </c>
      <c r="Q126" s="0" t="n">
        <f aca="false">IF($C$8="",4,IF(AND(ISNUMBER(G126),ISNUMBER(H126)),IF(AND($C$8&gt;=G126,$C$8&lt;=H126),7,0),4))</f>
        <v>4</v>
      </c>
      <c r="R126" s="0" t="n">
        <f aca="false">M126+N126+O126+P126+Q126+V126+Y126</f>
        <v>52</v>
      </c>
      <c r="S126" s="0" t="n">
        <f aca="false">IF(OR(M126=0,W126=0),-A126,R126*100+D126+F126*0.5-A126*0.001)</f>
        <v>-92</v>
      </c>
      <c r="T126" s="0" t="str">
        <f aca="false">Treatments!M94</f>
        <v>Added  </v>
      </c>
      <c r="U126" s="0" t="s">
        <v>22</v>
      </c>
      <c r="V126" s="0" t="n">
        <f aca="false">IF(OR($C$11="Any",U126="Any",U126=$C$11),8,0)</f>
        <v>8</v>
      </c>
      <c r="W126" s="0" t="n">
        <f aca="false">IF(LEFT(Treatments!AD94,3)="Yes",1,0)</f>
        <v>1</v>
      </c>
      <c r="X126" s="0" t="str">
        <f aca="false">Treatments!AE94</f>
        <v>All crashes</v>
      </c>
      <c r="Y126" s="0" t="n">
        <f aca="false">IF($C$12="Any",5,IF($C$12=X126,5,IF(AND($C$12="Fatal &amp; injury only",X126="All crashes"),3,0)))</f>
        <v>5</v>
      </c>
      <c r="Z126" s="0" t="str">
        <f aca="false">Treatments!AE94&amp;" / "&amp;Treatments!AF94</f>
        <v>All crashes / Only: Other</v>
      </c>
      <c r="AA126" s="0" t="str">
        <f aca="false">IF(OR(Treatments!AH94="Overstates",Treatments!AH94="Check"),UPPER(Treatments!AH94)&amp;": "&amp;Treatments!AI94&amp;". ","")&amp;IF(Treatments!AG94="","",Treatments!AG94)</f>
        <v>OVERSTATES: Head-on left-turn only. AADT tested: 25,512-85,076.</v>
      </c>
    </row>
    <row r="127" customFormat="false" ht="12.75" hidden="true" customHeight="false" outlineLevel="0" collapsed="false">
      <c r="A127" s="0" t="n">
        <v>93</v>
      </c>
      <c r="B127" s="0" t="str">
        <f aca="false">Treatments!A95</f>
        <v>Change Permissive Left-Turn Phasing To Protected/Permissive</v>
      </c>
      <c r="C127" s="0" t="str">
        <f aca="false">Treatments!B95</f>
        <v>CM: Protected/Permissive Left-Turn Phasing</v>
      </c>
      <c r="D127" s="0" t="n">
        <f aca="false">Treatments!Q95</f>
        <v>13.8</v>
      </c>
      <c r="E127" s="0" t="n">
        <f aca="false">Treatments!P95</f>
        <v>0.862</v>
      </c>
      <c r="F127" s="0" t="n">
        <f aca="false">IF(ISNUMBER(Treatments!N95),Treatments!N95,0)</f>
        <v>5</v>
      </c>
      <c r="G127" s="0" t="n">
        <f aca="false">IF(ISNUMBER(Treatments!U95),Treatments!U95,"")</f>
        <v>4857</v>
      </c>
      <c r="H127" s="0" t="n">
        <f aca="false">IF(ISNUMBER(Treatments!V95),Treatments!V95,"")</f>
        <v>74990</v>
      </c>
      <c r="I127" s="0" t="s">
        <v>67</v>
      </c>
      <c r="J127" s="0" t="s">
        <v>80</v>
      </c>
      <c r="K127" s="0" t="s">
        <v>81</v>
      </c>
      <c r="L127" s="0" t="s">
        <v>100</v>
      </c>
      <c r="M127" s="0" t="n">
        <f aca="false">IF(ISNUMBER(SEARCH("|"&amp;$C$7&amp;"|",L127)),45,IF(ISNUMBER(SEARCH("|All|",L127)),18,0))</f>
        <v>0</v>
      </c>
      <c r="N127" s="0" t="n">
        <f aca="false">IF(OR($C$4="Any",I127="All"),12,IF(ISNUMBER(SEARCH($C$4,I127)),12,0))</f>
        <v>12</v>
      </c>
      <c r="O127" s="0" t="n">
        <f aca="false">IF(OR($C$5="Any",J127="Any",J127=$C$5),13,0)</f>
        <v>13</v>
      </c>
      <c r="P127" s="0" t="n">
        <f aca="false">IF(OR($C$6="Any",K127="Any",K127=$C$6),10,0)</f>
        <v>10</v>
      </c>
      <c r="Q127" s="0" t="n">
        <f aca="false">IF($C$8="",4,IF(AND(ISNUMBER(G127),ISNUMBER(H127)),IF(AND($C$8&gt;=G127,$C$8&lt;=H127),7,0),4))</f>
        <v>4</v>
      </c>
      <c r="R127" s="0" t="n">
        <f aca="false">M127+N127+O127+P127+Q127+V127+Y127</f>
        <v>52</v>
      </c>
      <c r="S127" s="0" t="n">
        <f aca="false">IF(OR(M127=0,W127=0),-A127,R127*100+D127+F127*0.5-A127*0.001)</f>
        <v>-93</v>
      </c>
      <c r="T127" s="0" t="str">
        <f aca="false">Treatments!M95</f>
        <v>Added  </v>
      </c>
      <c r="U127" s="0" t="s">
        <v>22</v>
      </c>
      <c r="V127" s="0" t="n">
        <f aca="false">IF(OR($C$11="Any",U127="Any",U127=$C$11),8,0)</f>
        <v>8</v>
      </c>
      <c r="W127" s="0" t="n">
        <f aca="false">IF(LEFT(Treatments!AD95,3)="Yes",1,0)</f>
        <v>1</v>
      </c>
      <c r="X127" s="0" t="str">
        <f aca="false">Treatments!AE95</f>
        <v>All crashes</v>
      </c>
      <c r="Y127" s="0" t="n">
        <f aca="false">IF($C$12="Any",5,IF($C$12=X127,5,IF(AND($C$12="Fatal &amp; injury only",X127="All crashes"),3,0)))</f>
        <v>5</v>
      </c>
      <c r="Z127" s="0" t="str">
        <f aca="false">Treatments!AE95&amp;" / "&amp;Treatments!AF95</f>
        <v>All crashes / Only: Left turn</v>
      </c>
      <c r="AA127" s="0" t="str">
        <f aca="false">IF(OR(Treatments!AH95="Overstates",Treatments!AH95="Check"),UPPER(Treatments!AH95)&amp;": "&amp;Treatments!AI95&amp;". ","")&amp;IF(Treatments!AG95="","",Treatments!AG95)</f>
        <v>AADT tested: 4,857-74,990.</v>
      </c>
    </row>
    <row r="128" customFormat="false" ht="12.75" hidden="true" customHeight="false" outlineLevel="0" collapsed="false">
      <c r="A128" s="0" t="n">
        <v>94</v>
      </c>
      <c r="B128" s="0" t="str">
        <f aca="false">Treatments!A96</f>
        <v>Change Permissive Left-Turn Phasing To Protected Only Or Protected/Permissive</v>
      </c>
      <c r="C128" s="0" t="str">
        <f aca="false">Treatments!B96</f>
        <v>CM: Protected/Permissive Left-Turn Phasing</v>
      </c>
      <c r="D128" s="0" t="n">
        <f aca="false">Treatments!Q96</f>
        <v>5.8</v>
      </c>
      <c r="E128" s="0" t="n">
        <f aca="false">Treatments!P96</f>
        <v>0.942</v>
      </c>
      <c r="F128" s="0" t="n">
        <f aca="false">IF(ISNUMBER(Treatments!N96),Treatments!N96,0)</f>
        <v>5</v>
      </c>
      <c r="G128" s="0" t="str">
        <f aca="false">IF(ISNUMBER(Treatments!U96),Treatments!U96,"")</f>
        <v/>
      </c>
      <c r="H128" s="0" t="str">
        <f aca="false">IF(ISNUMBER(Treatments!V96),Treatments!V96,"")</f>
        <v/>
      </c>
      <c r="I128" s="0" t="s">
        <v>72</v>
      </c>
      <c r="J128" s="0" t="s">
        <v>80</v>
      </c>
      <c r="K128" s="0" t="s">
        <v>81</v>
      </c>
      <c r="L128" s="0" t="s">
        <v>100</v>
      </c>
      <c r="M128" s="0" t="n">
        <f aca="false">IF(ISNUMBER(SEARCH("|"&amp;$C$7&amp;"|",L128)),45,IF(ISNUMBER(SEARCH("|All|",L128)),18,0))</f>
        <v>0</v>
      </c>
      <c r="N128" s="0" t="n">
        <f aca="false">IF(OR($C$4="Any",I128="All"),12,IF(ISNUMBER(SEARCH($C$4,I128)),12,0))</f>
        <v>12</v>
      </c>
      <c r="O128" s="0" t="n">
        <f aca="false">IF(OR($C$5="Any",J128="Any",J128=$C$5),13,0)</f>
        <v>13</v>
      </c>
      <c r="P128" s="0" t="n">
        <f aca="false">IF(OR($C$6="Any",K128="Any",K128=$C$6),10,0)</f>
        <v>10</v>
      </c>
      <c r="Q128" s="0" t="n">
        <f aca="false">IF($C$8="",4,IF(AND(ISNUMBER(G128),ISNUMBER(H128)),IF(AND($C$8&gt;=G128,$C$8&lt;=H128),7,0),4))</f>
        <v>4</v>
      </c>
      <c r="R128" s="0" t="n">
        <f aca="false">M128+N128+O128+P128+Q128+V128+Y128</f>
        <v>52</v>
      </c>
      <c r="S128" s="0" t="n">
        <f aca="false">IF(OR(M128=0,W128=0),-A128,R128*100+D128+F128*0.5-A128*0.001)</f>
        <v>-94</v>
      </c>
      <c r="T128" s="0" t="str">
        <f aca="false">Treatments!M96</f>
        <v>Added  </v>
      </c>
      <c r="U128" s="0" t="s">
        <v>22</v>
      </c>
      <c r="V128" s="0" t="n">
        <f aca="false">IF(OR($C$11="Any",U128="Any",U128=$C$11),8,0)</f>
        <v>8</v>
      </c>
      <c r="W128" s="0" t="n">
        <f aca="false">IF(LEFT(Treatments!AD96,3)="Yes",1,0)</f>
        <v>1</v>
      </c>
      <c r="X128" s="0" t="str">
        <f aca="false">Treatments!AE96</f>
        <v>Fatal &amp; injury only</v>
      </c>
      <c r="Y128" s="0" t="n">
        <f aca="false">IF($C$12="Any",5,IF($C$12=X128,5,IF(AND($C$12="Fatal &amp; injury only",X128="All crashes"),3,0)))</f>
        <v>5</v>
      </c>
      <c r="Z128" s="0" t="str">
        <f aca="false">Treatments!AE96&amp;" / "&amp;Treatments!AF96</f>
        <v>Fatal &amp; injury only / Only: Other</v>
      </c>
      <c r="AA128" s="0" t="str">
        <f aca="false">IF(OR(Treatments!AH96="Overstates",Treatments!AH96="Check"),UPPER(Treatments!AH96)&amp;": "&amp;Treatments!AI96&amp;". ","")&amp;IF(Treatments!AG96="","",Treatments!AG96)</f>
        <v>No AADT range in the study.</v>
      </c>
    </row>
    <row r="129" customFormat="false" ht="12.75" hidden="true" customHeight="false" outlineLevel="0" collapsed="false">
      <c r="A129" s="0" t="n">
        <v>95</v>
      </c>
      <c r="B129" s="0" t="str">
        <f aca="false">Treatments!A97</f>
        <v>Changing Left Turn Phasing From Protected-Permissive To Flashing Yellow Arrow (Fya)</v>
      </c>
      <c r="C129" s="0" t="str">
        <f aca="false">Treatments!B97</f>
        <v>CM: Protected/Permissive Left-Turn Phasing</v>
      </c>
      <c r="D129" s="0" t="n">
        <f aca="false">Treatments!Q97</f>
        <v>60</v>
      </c>
      <c r="E129" s="0" t="n">
        <f aca="false">Treatments!P97</f>
        <v>0.4</v>
      </c>
      <c r="F129" s="0" t="n">
        <f aca="false">IF(ISNUMBER(Treatments!N97),Treatments!N97,0)</f>
        <v>4</v>
      </c>
      <c r="G129" s="0" t="str">
        <f aca="false">IF(ISNUMBER(Treatments!U97),Treatments!U97,"")</f>
        <v/>
      </c>
      <c r="H129" s="0" t="str">
        <f aca="false">IF(ISNUMBER(Treatments!V97),Treatments!V97,"")</f>
        <v/>
      </c>
      <c r="I129" s="0" t="s">
        <v>77</v>
      </c>
      <c r="J129" s="0" t="s">
        <v>80</v>
      </c>
      <c r="K129" s="0" t="s">
        <v>81</v>
      </c>
      <c r="L129" s="0" t="s">
        <v>100</v>
      </c>
      <c r="M129" s="0" t="n">
        <f aca="false">IF(ISNUMBER(SEARCH("|"&amp;$C$7&amp;"|",L129)),45,IF(ISNUMBER(SEARCH("|All|",L129)),18,0))</f>
        <v>0</v>
      </c>
      <c r="N129" s="0" t="n">
        <f aca="false">IF(OR($C$4="Any",I129="All"),12,IF(ISNUMBER(SEARCH($C$4,I129)),12,0))</f>
        <v>12</v>
      </c>
      <c r="O129" s="0" t="n">
        <f aca="false">IF(OR($C$5="Any",J129="Any",J129=$C$5),13,0)</f>
        <v>13</v>
      </c>
      <c r="P129" s="0" t="n">
        <f aca="false">IF(OR($C$6="Any",K129="Any",K129=$C$6),10,0)</f>
        <v>10</v>
      </c>
      <c r="Q129" s="0" t="n">
        <f aca="false">IF($C$8="",4,IF(AND(ISNUMBER(G129),ISNUMBER(H129)),IF(AND($C$8&gt;=G129,$C$8&lt;=H129),7,0),4))</f>
        <v>4</v>
      </c>
      <c r="R129" s="0" t="n">
        <f aca="false">M129+N129+O129+P129+Q129+V129+Y129</f>
        <v>52</v>
      </c>
      <c r="S129" s="0" t="n">
        <f aca="false">IF(OR(M129=0,W129=0),-A129,R129*100+D129+F129*0.5-A129*0.001)</f>
        <v>-95</v>
      </c>
      <c r="T129" s="0" t="str">
        <f aca="false">Treatments!M97</f>
        <v>Added  </v>
      </c>
      <c r="U129" s="0" t="s">
        <v>22</v>
      </c>
      <c r="V129" s="0" t="n">
        <f aca="false">IF(OR($C$11="Any",U129="Any",U129=$C$11),8,0)</f>
        <v>8</v>
      </c>
      <c r="W129" s="0" t="n">
        <f aca="false">IF(LEFT(Treatments!AD97,3)="Yes",1,0)</f>
        <v>1</v>
      </c>
      <c r="X129" s="0" t="str">
        <f aca="false">Treatments!AE97</f>
        <v>All crashes</v>
      </c>
      <c r="Y129" s="0" t="n">
        <f aca="false">IF($C$12="Any",5,IF($C$12=X129,5,IF(AND($C$12="Fatal &amp; injury only",X129="All crashes"),3,0)))</f>
        <v>5</v>
      </c>
      <c r="Z129" s="0" t="str">
        <f aca="false">Treatments!AE97&amp;" / "&amp;Treatments!AF97</f>
        <v>All crashes / Only: Rear end</v>
      </c>
      <c r="AA129" s="0" t="str">
        <f aca="false">IF(OR(Treatments!AH97="Overstates",Treatments!AH97="Check"),UPPER(Treatments!AH97)&amp;": "&amp;Treatments!AI97&amp;". ","")&amp;IF(Treatments!AG97="","",Treatments!AG97)</f>
        <v>CHECK: Rear-end; criteria is angle / head-on. No AADT range in the study.</v>
      </c>
    </row>
    <row r="130" customFormat="false" ht="12.75" hidden="true" customHeight="false" outlineLevel="0" collapsed="false">
      <c r="A130" s="0" t="n">
        <v>96</v>
      </c>
      <c r="B130" s="0" t="str">
        <f aca="false">Treatments!A98</f>
        <v>Changing Left Turn Phasing From At Least One Permissive Approach To Flashing Yellow Arrow (Fya)</v>
      </c>
      <c r="C130" s="0" t="str">
        <f aca="false">Treatments!B98</f>
        <v>CM: Protected/Permissive Left-Turn Phasing</v>
      </c>
      <c r="D130" s="0" t="n">
        <f aca="false">Treatments!Q98</f>
        <v>36.5</v>
      </c>
      <c r="E130" s="0" t="n">
        <f aca="false">Treatments!P98</f>
        <v>0.635</v>
      </c>
      <c r="F130" s="0" t="n">
        <f aca="false">IF(ISNUMBER(Treatments!N98),Treatments!N98,0)</f>
        <v>4</v>
      </c>
      <c r="G130" s="0" t="n">
        <f aca="false">IF(ISNUMBER(Treatments!U98),Treatments!U98,"")</f>
        <v>8260</v>
      </c>
      <c r="H130" s="0" t="n">
        <f aca="false">IF(ISNUMBER(Treatments!V98),Treatments!V98,"")</f>
        <v>43000</v>
      </c>
      <c r="I130" s="0" t="s">
        <v>67</v>
      </c>
      <c r="J130" s="0" t="s">
        <v>80</v>
      </c>
      <c r="K130" s="0" t="s">
        <v>81</v>
      </c>
      <c r="L130" s="0" t="s">
        <v>100</v>
      </c>
      <c r="M130" s="0" t="n">
        <f aca="false">IF(ISNUMBER(SEARCH("|"&amp;$C$7&amp;"|",L130)),45,IF(ISNUMBER(SEARCH("|All|",L130)),18,0))</f>
        <v>0</v>
      </c>
      <c r="N130" s="0" t="n">
        <f aca="false">IF(OR($C$4="Any",I130="All"),12,IF(ISNUMBER(SEARCH($C$4,I130)),12,0))</f>
        <v>12</v>
      </c>
      <c r="O130" s="0" t="n">
        <f aca="false">IF(OR($C$5="Any",J130="Any",J130=$C$5),13,0)</f>
        <v>13</v>
      </c>
      <c r="P130" s="0" t="n">
        <f aca="false">IF(OR($C$6="Any",K130="Any",K130=$C$6),10,0)</f>
        <v>10</v>
      </c>
      <c r="Q130" s="0" t="n">
        <f aca="false">IF($C$8="",4,IF(AND(ISNUMBER(G130),ISNUMBER(H130)),IF(AND($C$8&gt;=G130,$C$8&lt;=H130),7,0),4))</f>
        <v>4</v>
      </c>
      <c r="R130" s="0" t="n">
        <f aca="false">M130+N130+O130+P130+Q130+V130+Y130</f>
        <v>52</v>
      </c>
      <c r="S130" s="0" t="n">
        <f aca="false">IF(OR(M130=0,W130=0),-A130,R130*100+D130+F130*0.5-A130*0.001)</f>
        <v>-96</v>
      </c>
      <c r="T130" s="0" t="str">
        <f aca="false">Treatments!M98</f>
        <v>Added  </v>
      </c>
      <c r="U130" s="0" t="s">
        <v>22</v>
      </c>
      <c r="V130" s="0" t="n">
        <f aca="false">IF(OR($C$11="Any",U130="Any",U130=$C$11),8,0)</f>
        <v>8</v>
      </c>
      <c r="W130" s="0" t="n">
        <f aca="false">IF(LEFT(Treatments!AD98,3)="Yes",1,0)</f>
        <v>1</v>
      </c>
      <c r="X130" s="0" t="str">
        <f aca="false">Treatments!AE98</f>
        <v>All crashes</v>
      </c>
      <c r="Y130" s="0" t="n">
        <f aca="false">IF($C$12="Any",5,IF($C$12=X130,5,IF(AND($C$12="Fatal &amp; injury only",X130="All crashes"),3,0)))</f>
        <v>5</v>
      </c>
      <c r="Z130" s="0" t="str">
        <f aca="false">Treatments!AE98&amp;" / "&amp;Treatments!AF98</f>
        <v>All crashes / Only: Left turn</v>
      </c>
      <c r="AA130" s="0" t="str">
        <f aca="false">IF(OR(Treatments!AH98="Overstates",Treatments!AH98="Check"),UPPER(Treatments!AH98)&amp;": "&amp;Treatments!AI98&amp;". ","")&amp;IF(Treatments!AG98="","",Treatments!AG98)</f>
        <v>AADT tested: 8,260-43,000.</v>
      </c>
    </row>
    <row r="131" customFormat="false" ht="12.75" hidden="true" customHeight="false" outlineLevel="0" collapsed="false">
      <c r="A131" s="0" t="n">
        <v>97</v>
      </c>
      <c r="B131" s="0" t="str">
        <f aca="false">Treatments!A99</f>
        <v>Changing Left Turn Phasing On More Than One Approach From Permissive To Protected-Permissive</v>
      </c>
      <c r="C131" s="0" t="str">
        <f aca="false">Treatments!B99</f>
        <v>CM: Protected/Permissive Left-Turn Phasing</v>
      </c>
      <c r="D131" s="0" t="n">
        <f aca="false">Treatments!Q99</f>
        <v>21.3</v>
      </c>
      <c r="E131" s="0" t="n">
        <f aca="false">Treatments!P99</f>
        <v>0.787</v>
      </c>
      <c r="F131" s="0" t="n">
        <f aca="false">IF(ISNUMBER(Treatments!N99),Treatments!N99,0)</f>
        <v>4</v>
      </c>
      <c r="G131" s="0" t="n">
        <f aca="false">IF(ISNUMBER(Treatments!U99),Treatments!U99,"")</f>
        <v>4857</v>
      </c>
      <c r="H131" s="0" t="n">
        <f aca="false">IF(ISNUMBER(Treatments!V99),Treatments!V99,"")</f>
        <v>74990</v>
      </c>
      <c r="I131" s="0" t="s">
        <v>67</v>
      </c>
      <c r="J131" s="0" t="s">
        <v>80</v>
      </c>
      <c r="K131" s="0" t="s">
        <v>81</v>
      </c>
      <c r="L131" s="0" t="s">
        <v>100</v>
      </c>
      <c r="M131" s="0" t="n">
        <f aca="false">IF(ISNUMBER(SEARCH("|"&amp;$C$7&amp;"|",L131)),45,IF(ISNUMBER(SEARCH("|All|",L131)),18,0))</f>
        <v>0</v>
      </c>
      <c r="N131" s="0" t="n">
        <f aca="false">IF(OR($C$4="Any",I131="All"),12,IF(ISNUMBER(SEARCH($C$4,I131)),12,0))</f>
        <v>12</v>
      </c>
      <c r="O131" s="0" t="n">
        <f aca="false">IF(OR($C$5="Any",J131="Any",J131=$C$5),13,0)</f>
        <v>13</v>
      </c>
      <c r="P131" s="0" t="n">
        <f aca="false">IF(OR($C$6="Any",K131="Any",K131=$C$6),10,0)</f>
        <v>10</v>
      </c>
      <c r="Q131" s="0" t="n">
        <f aca="false">IF($C$8="",4,IF(AND(ISNUMBER(G131),ISNUMBER(H131)),IF(AND($C$8&gt;=G131,$C$8&lt;=H131),7,0),4))</f>
        <v>4</v>
      </c>
      <c r="R131" s="0" t="n">
        <f aca="false">M131+N131+O131+P131+Q131+V131+Y131</f>
        <v>52</v>
      </c>
      <c r="S131" s="0" t="n">
        <f aca="false">IF(OR(M131=0,W131=0),-A131,R131*100+D131+F131*0.5-A131*0.001)</f>
        <v>-97</v>
      </c>
      <c r="T131" s="0" t="str">
        <f aca="false">Treatments!M99</f>
        <v>Added  </v>
      </c>
      <c r="U131" s="0" t="s">
        <v>22</v>
      </c>
      <c r="V131" s="0" t="n">
        <f aca="false">IF(OR($C$11="Any",U131="Any",U131=$C$11),8,0)</f>
        <v>8</v>
      </c>
      <c r="W131" s="0" t="n">
        <f aca="false">IF(LEFT(Treatments!AD99,3)="Yes",1,0)</f>
        <v>1</v>
      </c>
      <c r="X131" s="0" t="str">
        <f aca="false">Treatments!AE99</f>
        <v>All crashes</v>
      </c>
      <c r="Y131" s="0" t="n">
        <f aca="false">IF($C$12="Any",5,IF($C$12=X131,5,IF(AND($C$12="Fatal &amp; injury only",X131="All crashes"),3,0)))</f>
        <v>5</v>
      </c>
      <c r="Z131" s="0" t="str">
        <f aca="false">Treatments!AE99&amp;" / "&amp;Treatments!AF99</f>
        <v>All crashes / Only: Left turn</v>
      </c>
      <c r="AA131" s="0" t="str">
        <f aca="false">IF(OR(Treatments!AH99="Overstates",Treatments!AH99="Check"),UPPER(Treatments!AH99)&amp;": "&amp;Treatments!AI99&amp;". ","")&amp;IF(Treatments!AG99="","",Treatments!AG99)</f>
        <v>AADT tested: 4,857-74,990.</v>
      </c>
    </row>
    <row r="132" customFormat="false" ht="12.75" hidden="true" customHeight="false" outlineLevel="0" collapsed="false">
      <c r="A132" s="0" t="n">
        <v>98</v>
      </c>
      <c r="B132" s="0" t="str">
        <f aca="false">Treatments!A100</f>
        <v>Install Left Turn Flashing Yellow Arrow Signals And Supplemental Traffic Signs</v>
      </c>
      <c r="C132" s="0" t="str">
        <f aca="false">Treatments!B100</f>
        <v>CM: Protected/Permissive Left-Turn Phasing</v>
      </c>
      <c r="D132" s="0" t="n">
        <f aca="false">Treatments!Q100</f>
        <v>14.3</v>
      </c>
      <c r="E132" s="0" t="n">
        <f aca="false">Treatments!P100</f>
        <v>0.857</v>
      </c>
      <c r="F132" s="0" t="n">
        <f aca="false">IF(ISNUMBER(Treatments!N100),Treatments!N100,0)</f>
        <v>4</v>
      </c>
      <c r="G132" s="0" t="n">
        <f aca="false">IF(ISNUMBER(Treatments!U100),Treatments!U100,"")</f>
        <v>3250</v>
      </c>
      <c r="H132" s="0" t="n">
        <f aca="false">IF(ISNUMBER(Treatments!V100),Treatments!V100,"")</f>
        <v>37500</v>
      </c>
      <c r="I132" s="0" t="s">
        <v>67</v>
      </c>
      <c r="J132" s="0" t="s">
        <v>80</v>
      </c>
      <c r="K132" s="0" t="s">
        <v>81</v>
      </c>
      <c r="L132" s="0" t="s">
        <v>100</v>
      </c>
      <c r="M132" s="0" t="n">
        <f aca="false">IF(ISNUMBER(SEARCH("|"&amp;$C$7&amp;"|",L132)),45,IF(ISNUMBER(SEARCH("|All|",L132)),18,0))</f>
        <v>0</v>
      </c>
      <c r="N132" s="0" t="n">
        <f aca="false">IF(OR($C$4="Any",I132="All"),12,IF(ISNUMBER(SEARCH($C$4,I132)),12,0))</f>
        <v>12</v>
      </c>
      <c r="O132" s="0" t="n">
        <f aca="false">IF(OR($C$5="Any",J132="Any",J132=$C$5),13,0)</f>
        <v>13</v>
      </c>
      <c r="P132" s="0" t="n">
        <f aca="false">IF(OR($C$6="Any",K132="Any",K132=$C$6),10,0)</f>
        <v>10</v>
      </c>
      <c r="Q132" s="0" t="n">
        <f aca="false">IF($C$8="",4,IF(AND(ISNUMBER(G132),ISNUMBER(H132)),IF(AND($C$8&gt;=G132,$C$8&lt;=H132),7,0),4))</f>
        <v>4</v>
      </c>
      <c r="R132" s="0" t="n">
        <f aca="false">M132+N132+O132+P132+Q132+V132+Y132</f>
        <v>52</v>
      </c>
      <c r="S132" s="0" t="n">
        <f aca="false">IF(OR(M132=0,W132=0),-A132,R132*100+D132+F132*0.5-A132*0.001)</f>
        <v>-98</v>
      </c>
      <c r="T132" s="0" t="str">
        <f aca="false">Treatments!M100</f>
        <v>Added  </v>
      </c>
      <c r="U132" s="0" t="s">
        <v>22</v>
      </c>
      <c r="V132" s="0" t="n">
        <f aca="false">IF(OR($C$11="Any",U132="Any",U132=$C$11),8,0)</f>
        <v>8</v>
      </c>
      <c r="W132" s="0" t="n">
        <f aca="false">IF(LEFT(Treatments!AD100,3)="Yes",1,0)</f>
        <v>1</v>
      </c>
      <c r="X132" s="0" t="str">
        <f aca="false">Treatments!AE100</f>
        <v>All crashes</v>
      </c>
      <c r="Y132" s="0" t="n">
        <f aca="false">IF($C$12="Any",5,IF($C$12=X132,5,IF(AND($C$12="Fatal &amp; injury only",X132="All crashes"),3,0)))</f>
        <v>5</v>
      </c>
      <c r="Z132" s="0" t="str">
        <f aca="false">Treatments!AE100&amp;" / "&amp;Treatments!AF100</f>
        <v>All crashes / Only: Left turn</v>
      </c>
      <c r="AA132" s="0" t="str">
        <f aca="false">IF(OR(Treatments!AH100="Overstates",Treatments!AH100="Check"),UPPER(Treatments!AH100)&amp;": "&amp;Treatments!AI100&amp;". ","")&amp;IF(Treatments!AG100="","",Treatments!AG100)</f>
        <v>AADT tested: 3,250-37,500.</v>
      </c>
    </row>
    <row r="133" customFormat="false" ht="12.75" hidden="true" customHeight="false" outlineLevel="0" collapsed="false">
      <c r="A133" s="0" t="n">
        <v>99</v>
      </c>
      <c r="B133" s="0" t="str">
        <f aca="false">Treatments!A101</f>
        <v>Conversion Of Stop-Controlled Intersection Into Single-Lane Roundabout</v>
      </c>
      <c r="C133" s="0" t="str">
        <f aca="false">Treatments!B101</f>
        <v>CM: Roundabouts</v>
      </c>
      <c r="D133" s="0" t="n">
        <f aca="false">Treatments!Q101</f>
        <v>82</v>
      </c>
      <c r="E133" s="0" t="n">
        <f aca="false">Treatments!P101</f>
        <v>0.18</v>
      </c>
      <c r="F133" s="0" t="n">
        <f aca="false">IF(ISNUMBER(Treatments!N101),Treatments!N101,0)</f>
        <v>4</v>
      </c>
      <c r="G133" s="0" t="str">
        <f aca="false">IF(ISNUMBER(Treatments!U101),Treatments!U101,"")</f>
        <v/>
      </c>
      <c r="H133" s="0" t="str">
        <f aca="false">IF(ISNUMBER(Treatments!V101),Treatments!V101,"")</f>
        <v/>
      </c>
      <c r="I133" s="0" t="s">
        <v>73</v>
      </c>
      <c r="J133" s="0" t="s">
        <v>80</v>
      </c>
      <c r="K133" s="0" t="s">
        <v>22</v>
      </c>
      <c r="L133" s="0" t="s">
        <v>101</v>
      </c>
      <c r="M133" s="0" t="n">
        <f aca="false">IF(ISNUMBER(SEARCH("|"&amp;$C$7&amp;"|",L133)),45,IF(ISNUMBER(SEARCH("|All|",L133)),18,0))</f>
        <v>18</v>
      </c>
      <c r="N133" s="0" t="n">
        <f aca="false">IF(OR($C$4="Any",I133="All"),12,IF(ISNUMBER(SEARCH($C$4,I133)),12,0))</f>
        <v>12</v>
      </c>
      <c r="O133" s="0" t="n">
        <f aca="false">IF(OR($C$5="Any",J133="Any",J133=$C$5),13,0)</f>
        <v>13</v>
      </c>
      <c r="P133" s="0" t="n">
        <f aca="false">IF(OR($C$6="Any",K133="Any",K133=$C$6),10,0)</f>
        <v>10</v>
      </c>
      <c r="Q133" s="0" t="n">
        <f aca="false">IF($C$8="",4,IF(AND(ISNUMBER(G133),ISNUMBER(H133)),IF(AND($C$8&gt;=G133,$C$8&lt;=H133),7,0),4))</f>
        <v>4</v>
      </c>
      <c r="R133" s="0" t="n">
        <f aca="false">M133+N133+O133+P133+Q133+V133+Y133</f>
        <v>70</v>
      </c>
      <c r="S133" s="0" t="n">
        <f aca="false">IF(OR(M133=0,W133=0),-A133,R133*100+D133+F133*0.5-A133*0.001)</f>
        <v>7083.901</v>
      </c>
      <c r="T133" s="0" t="str">
        <f aca="false">Treatments!M101</f>
        <v>Original </v>
      </c>
      <c r="U133" s="0" t="s">
        <v>22</v>
      </c>
      <c r="V133" s="0" t="n">
        <f aca="false">IF(OR($C$11="Any",U133="Any",U133=$C$11),8,0)</f>
        <v>8</v>
      </c>
      <c r="W133" s="0" t="n">
        <f aca="false">IF(LEFT(Treatments!AD101,3)="Yes",1,0)</f>
        <v>1</v>
      </c>
      <c r="X133" s="0" t="str">
        <f aca="false">Treatments!AE101</f>
        <v>Fatal &amp; injury only</v>
      </c>
      <c r="Y133" s="0" t="n">
        <f aca="false">IF($C$12="Any",5,IF($C$12=X133,5,IF(AND($C$12="Fatal &amp; injury only",X133="All crashes"),3,0)))</f>
        <v>5</v>
      </c>
      <c r="Z133" s="0" t="str">
        <f aca="false">Treatments!AE101&amp;" / "&amp;Treatments!AF101</f>
        <v>Fatal &amp; injury only / All crash types</v>
      </c>
      <c r="AA133" s="0" t="str">
        <f aca="false">IF(OR(Treatments!AH101="Overstates",Treatments!AH101="Check"),UPPER(Treatments!AH101)&amp;": "&amp;Treatments!AI101&amp;". ","")&amp;IF(Treatments!AG101="","",Treatments!AG101)</f>
        <v>No AADT range in the study.</v>
      </c>
    </row>
    <row r="134" customFormat="false" ht="12.75" hidden="true" customHeight="false" outlineLevel="0" collapsed="false">
      <c r="A134" s="0" t="n">
        <v>100</v>
      </c>
      <c r="B134" s="0" t="str">
        <f aca="false">Treatments!A102</f>
        <v>Convert Signalized Intersection To Modern Roundabout</v>
      </c>
      <c r="C134" s="0" t="str">
        <f aca="false">Treatments!B102</f>
        <v>CM: Roundabouts</v>
      </c>
      <c r="D134" s="0" t="n">
        <f aca="false">Treatments!Q102</f>
        <v>78</v>
      </c>
      <c r="E134" s="0" t="n">
        <f aca="false">Treatments!P102</f>
        <v>0.22</v>
      </c>
      <c r="F134" s="0" t="n">
        <f aca="false">IF(ISNUMBER(Treatments!N102),Treatments!N102,0)</f>
        <v>3</v>
      </c>
      <c r="G134" s="0" t="str">
        <f aca="false">IF(ISNUMBER(Treatments!U102),Treatments!U102,"")</f>
        <v/>
      </c>
      <c r="H134" s="0" t="str">
        <f aca="false">IF(ISNUMBER(Treatments!V102),Treatments!V102,"")</f>
        <v/>
      </c>
      <c r="I134" s="0" t="s">
        <v>72</v>
      </c>
      <c r="J134" s="0" t="s">
        <v>80</v>
      </c>
      <c r="K134" s="0" t="s">
        <v>22</v>
      </c>
      <c r="L134" s="0" t="s">
        <v>101</v>
      </c>
      <c r="M134" s="0" t="n">
        <f aca="false">IF(ISNUMBER(SEARCH("|"&amp;$C$7&amp;"|",L134)),45,IF(ISNUMBER(SEARCH("|All|",L134)),18,0))</f>
        <v>18</v>
      </c>
      <c r="N134" s="0" t="n">
        <f aca="false">IF(OR($C$4="Any",I134="All"),12,IF(ISNUMBER(SEARCH($C$4,I134)),12,0))</f>
        <v>12</v>
      </c>
      <c r="O134" s="0" t="n">
        <f aca="false">IF(OR($C$5="Any",J134="Any",J134=$C$5),13,0)</f>
        <v>13</v>
      </c>
      <c r="P134" s="0" t="n">
        <f aca="false">IF(OR($C$6="Any",K134="Any",K134=$C$6),10,0)</f>
        <v>10</v>
      </c>
      <c r="Q134" s="0" t="n">
        <f aca="false">IF($C$8="",4,IF(AND(ISNUMBER(G134),ISNUMBER(H134)),IF(AND($C$8&gt;=G134,$C$8&lt;=H134),7,0),4))</f>
        <v>4</v>
      </c>
      <c r="R134" s="0" t="n">
        <f aca="false">M134+N134+O134+P134+Q134+V134+Y134</f>
        <v>70</v>
      </c>
      <c r="S134" s="0" t="n">
        <f aca="false">IF(OR(M134=0,W134=0),-A134,R134*100+D134+F134*0.5-A134*0.001)</f>
        <v>7079.4</v>
      </c>
      <c r="T134" s="0" t="str">
        <f aca="false">Treatments!M102</f>
        <v>Original </v>
      </c>
      <c r="U134" s="0" t="s">
        <v>22</v>
      </c>
      <c r="V134" s="0" t="n">
        <f aca="false">IF(OR($C$11="Any",U134="Any",U134=$C$11),8,0)</f>
        <v>8</v>
      </c>
      <c r="W134" s="0" t="n">
        <f aca="false">IF(LEFT(Treatments!AD102,3)="Yes",1,0)</f>
        <v>1</v>
      </c>
      <c r="X134" s="0" t="str">
        <f aca="false">Treatments!AE102</f>
        <v>Fatal &amp; injury only</v>
      </c>
      <c r="Y134" s="0" t="n">
        <f aca="false">IF($C$12="Any",5,IF($C$12=X134,5,IF(AND($C$12="Fatal &amp; injury only",X134="All crashes"),3,0)))</f>
        <v>5</v>
      </c>
      <c r="Z134" s="0" t="str">
        <f aca="false">Treatments!AE102&amp;" / "&amp;Treatments!AF102</f>
        <v>Fatal &amp; injury only / All crash types</v>
      </c>
      <c r="AA134" s="0" t="str">
        <f aca="false">IF(OR(Treatments!AH102="Overstates",Treatments!AH102="Check"),UPPER(Treatments!AH102)&amp;": "&amp;Treatments!AI102&amp;". ","")&amp;IF(Treatments!AG102="","",Treatments!AG102)</f>
        <v>No AADT range in the study.</v>
      </c>
    </row>
    <row r="135" customFormat="false" ht="12.75" hidden="true" customHeight="false" outlineLevel="0" collapsed="false">
      <c r="A135" s="0" t="n">
        <v>101</v>
      </c>
      <c r="B135" s="0" t="str">
        <f aca="false">Treatments!A103</f>
        <v>Convert Signalized Intersection To Modern Roundabout</v>
      </c>
      <c r="C135" s="0" t="str">
        <f aca="false">Treatments!B103</f>
        <v>CM: Roundabouts</v>
      </c>
      <c r="D135" s="0" t="n">
        <f aca="false">Treatments!Q103</f>
        <v>74.1</v>
      </c>
      <c r="E135" s="0" t="n">
        <f aca="false">Treatments!P103</f>
        <v>0.259</v>
      </c>
      <c r="F135" s="0" t="n">
        <f aca="false">IF(ISNUMBER(Treatments!N103),Treatments!N103,0)</f>
        <v>4</v>
      </c>
      <c r="G135" s="0" t="n">
        <f aca="false">IF(ISNUMBER(Treatments!U103),Treatments!U103,"")</f>
        <v>5322</v>
      </c>
      <c r="H135" s="0" t="n">
        <f aca="false">IF(ISNUMBER(Treatments!V103),Treatments!V103,"")</f>
        <v>43123</v>
      </c>
      <c r="I135" s="0" t="s">
        <v>77</v>
      </c>
      <c r="J135" s="0" t="s">
        <v>80</v>
      </c>
      <c r="K135" s="0" t="s">
        <v>22</v>
      </c>
      <c r="L135" s="0" t="s">
        <v>101</v>
      </c>
      <c r="M135" s="0" t="n">
        <f aca="false">IF(ISNUMBER(SEARCH("|"&amp;$C$7&amp;"|",L135)),45,IF(ISNUMBER(SEARCH("|All|",L135)),18,0))</f>
        <v>18</v>
      </c>
      <c r="N135" s="0" t="n">
        <f aca="false">IF(OR($C$4="Any",I135="All"),12,IF(ISNUMBER(SEARCH($C$4,I135)),12,0))</f>
        <v>12</v>
      </c>
      <c r="O135" s="0" t="n">
        <f aca="false">IF(OR($C$5="Any",J135="Any",J135=$C$5),13,0)</f>
        <v>13</v>
      </c>
      <c r="P135" s="0" t="n">
        <f aca="false">IF(OR($C$6="Any",K135="Any",K135=$C$6),10,0)</f>
        <v>10</v>
      </c>
      <c r="Q135" s="0" t="n">
        <f aca="false">IF($C$8="",4,IF(AND(ISNUMBER(G135),ISNUMBER(H135)),IF(AND($C$8&gt;=G135,$C$8&lt;=H135),7,0),4))</f>
        <v>4</v>
      </c>
      <c r="R135" s="0" t="n">
        <f aca="false">M135+N135+O135+P135+Q135+V135+Y135</f>
        <v>70</v>
      </c>
      <c r="S135" s="0" t="n">
        <f aca="false">IF(OR(M135=0,W135=0),-A135,R135*100+D135+F135*0.5-A135*0.001)</f>
        <v>7075.999</v>
      </c>
      <c r="T135" s="0" t="str">
        <f aca="false">Treatments!M103</f>
        <v>Added  </v>
      </c>
      <c r="U135" s="0" t="s">
        <v>22</v>
      </c>
      <c r="V135" s="0" t="n">
        <f aca="false">IF(OR($C$11="Any",U135="Any",U135=$C$11),8,0)</f>
        <v>8</v>
      </c>
      <c r="W135" s="0" t="n">
        <f aca="false">IF(LEFT(Treatments!AD103,3)="Yes",1,0)</f>
        <v>1</v>
      </c>
      <c r="X135" s="0" t="str">
        <f aca="false">Treatments!AE103</f>
        <v>Fatal &amp; injury only</v>
      </c>
      <c r="Y135" s="0" t="n">
        <f aca="false">IF($C$12="Any",5,IF($C$12=X135,5,IF(AND($C$12="Fatal &amp; injury only",X135="All crashes"),3,0)))</f>
        <v>5</v>
      </c>
      <c r="Z135" s="0" t="str">
        <f aca="false">Treatments!AE103&amp;" / "&amp;Treatments!AF103</f>
        <v>Fatal &amp; injury only / All crash types</v>
      </c>
      <c r="AA135" s="0" t="str">
        <f aca="false">IF(OR(Treatments!AH103="Overstates",Treatments!AH103="Check"),UPPER(Treatments!AH103)&amp;": "&amp;Treatments!AI103&amp;". ","")&amp;IF(Treatments!AG103="","",Treatments!AG103)</f>
        <v>AADT tested: 5,322-43,123.</v>
      </c>
    </row>
    <row r="136" customFormat="false" ht="12.75" hidden="true" customHeight="false" outlineLevel="0" collapsed="false">
      <c r="A136" s="0" t="n">
        <v>102</v>
      </c>
      <c r="B136" s="0" t="str">
        <f aca="false">Treatments!A104</f>
        <v>Conversion Of Stop-Controlled Intersection To Mini Roundabout</v>
      </c>
      <c r="C136" s="0" t="str">
        <f aca="false">Treatments!B104</f>
        <v>CM: Roundabouts</v>
      </c>
      <c r="D136" s="0" t="n">
        <f aca="false">Treatments!Q104</f>
        <v>40.2</v>
      </c>
      <c r="E136" s="0" t="n">
        <f aca="false">Treatments!P104</f>
        <v>0.5977</v>
      </c>
      <c r="F136" s="0" t="n">
        <f aca="false">IF(ISNUMBER(Treatments!N104),Treatments!N104,0)</f>
        <v>4</v>
      </c>
      <c r="G136" s="0" t="n">
        <f aca="false">IF(ISNUMBER(Treatments!U104),Treatments!U104,"")</f>
        <v>643</v>
      </c>
      <c r="H136" s="0" t="n">
        <f aca="false">IF(ISNUMBER(Treatments!V104),Treatments!V104,"")</f>
        <v>15138</v>
      </c>
      <c r="I136" s="0" t="s">
        <v>77</v>
      </c>
      <c r="J136" s="0" t="s">
        <v>80</v>
      </c>
      <c r="K136" s="0" t="s">
        <v>22</v>
      </c>
      <c r="L136" s="0" t="s">
        <v>101</v>
      </c>
      <c r="M136" s="0" t="n">
        <f aca="false">IF(ISNUMBER(SEARCH("|"&amp;$C$7&amp;"|",L136)),45,IF(ISNUMBER(SEARCH("|All|",L136)),18,0))</f>
        <v>18</v>
      </c>
      <c r="N136" s="0" t="n">
        <f aca="false">IF(OR($C$4="Any",I136="All"),12,IF(ISNUMBER(SEARCH($C$4,I136)),12,0))</f>
        <v>12</v>
      </c>
      <c r="O136" s="0" t="n">
        <f aca="false">IF(OR($C$5="Any",J136="Any",J136=$C$5),13,0)</f>
        <v>13</v>
      </c>
      <c r="P136" s="0" t="n">
        <f aca="false">IF(OR($C$6="Any",K136="Any",K136=$C$6),10,0)</f>
        <v>10</v>
      </c>
      <c r="Q136" s="0" t="n">
        <f aca="false">IF($C$8="",4,IF(AND(ISNUMBER(G136),ISNUMBER(H136)),IF(AND($C$8&gt;=G136,$C$8&lt;=H136),7,0),4))</f>
        <v>4</v>
      </c>
      <c r="R136" s="0" t="n">
        <f aca="false">M136+N136+O136+P136+Q136+V136+Y136</f>
        <v>70</v>
      </c>
      <c r="S136" s="0" t="n">
        <f aca="false">IF(OR(M136=0,W136=0),-A136,R136*100+D136+F136*0.5-A136*0.001)</f>
        <v>7042.098</v>
      </c>
      <c r="T136" s="0" t="str">
        <f aca="false">Treatments!M104</f>
        <v>Added  </v>
      </c>
      <c r="U136" s="0" t="s">
        <v>22</v>
      </c>
      <c r="V136" s="0" t="n">
        <f aca="false">IF(OR($C$11="Any",U136="Any",U136=$C$11),8,0)</f>
        <v>8</v>
      </c>
      <c r="W136" s="0" t="n">
        <f aca="false">IF(LEFT(Treatments!AD104,3)="Yes",1,0)</f>
        <v>1</v>
      </c>
      <c r="X136" s="0" t="str">
        <f aca="false">Treatments!AE104</f>
        <v>PDO only</v>
      </c>
      <c r="Y136" s="0" t="n">
        <f aca="false">IF($C$12="Any",5,IF($C$12=X136,5,IF(AND($C$12="Fatal &amp; injury only",X136="All crashes"),3,0)))</f>
        <v>5</v>
      </c>
      <c r="Z136" s="0" t="str">
        <f aca="false">Treatments!AE104&amp;" / "&amp;Treatments!AF104</f>
        <v>PDO only / All crash types</v>
      </c>
      <c r="AA136" s="0" t="str">
        <f aca="false">IF(OR(Treatments!AH104="Overstates",Treatments!AH104="Check"),UPPER(Treatments!AH104)&amp;": "&amp;Treatments!AI104&amp;". ","")&amp;IF(Treatments!AG104="","",Treatments!AG104)</f>
        <v>AADT tested: 643-15,138.</v>
      </c>
    </row>
    <row r="137" customFormat="false" ht="12.75" hidden="true" customHeight="false" outlineLevel="0" collapsed="false">
      <c r="A137" s="0" t="n">
        <v>103</v>
      </c>
      <c r="B137" s="0" t="str">
        <f aca="false">Treatments!A105</f>
        <v>Convert Intersection To Roundabout</v>
      </c>
      <c r="C137" s="0" t="str">
        <f aca="false">Treatments!B105</f>
        <v>CM: Roundabouts</v>
      </c>
      <c r="D137" s="0" t="n">
        <f aca="false">Treatments!Q105</f>
        <v>72</v>
      </c>
      <c r="E137" s="0" t="n">
        <f aca="false">Treatments!P105</f>
        <v>0.28</v>
      </c>
      <c r="F137" s="0" t="n">
        <f aca="false">IF(ISNUMBER(Treatments!N105),Treatments!N105,0)</f>
        <v>5</v>
      </c>
      <c r="G137" s="0" t="str">
        <f aca="false">IF(ISNUMBER(Treatments!U105),Treatments!U105,"")</f>
        <v/>
      </c>
      <c r="H137" s="0" t="str">
        <f aca="false">IF(ISNUMBER(Treatments!V105),Treatments!V105,"")</f>
        <v/>
      </c>
      <c r="I137" s="0" t="s">
        <v>72</v>
      </c>
      <c r="J137" s="0" t="s">
        <v>80</v>
      </c>
      <c r="K137" s="0" t="s">
        <v>22</v>
      </c>
      <c r="L137" s="0" t="s">
        <v>101</v>
      </c>
      <c r="M137" s="0" t="n">
        <f aca="false">IF(ISNUMBER(SEARCH("|"&amp;$C$7&amp;"|",L137)),45,IF(ISNUMBER(SEARCH("|All|",L137)),18,0))</f>
        <v>18</v>
      </c>
      <c r="N137" s="0" t="n">
        <f aca="false">IF(OR($C$4="Any",I137="All"),12,IF(ISNUMBER(SEARCH($C$4,I137)),12,0))</f>
        <v>12</v>
      </c>
      <c r="O137" s="0" t="n">
        <f aca="false">IF(OR($C$5="Any",J137="Any",J137=$C$5),13,0)</f>
        <v>13</v>
      </c>
      <c r="P137" s="0" t="n">
        <f aca="false">IF(OR($C$6="Any",K137="Any",K137=$C$6),10,0)</f>
        <v>10</v>
      </c>
      <c r="Q137" s="0" t="n">
        <f aca="false">IF($C$8="",4,IF(AND(ISNUMBER(G137),ISNUMBER(H137)),IF(AND($C$8&gt;=G137,$C$8&lt;=H137),7,0),4))</f>
        <v>4</v>
      </c>
      <c r="R137" s="0" t="n">
        <f aca="false">M137+N137+O137+P137+Q137+V137+Y137</f>
        <v>70</v>
      </c>
      <c r="S137" s="0" t="n">
        <f aca="false">IF(OR(M137=0,W137=0),-A137,R137*100+D137+F137*0.5-A137*0.001)</f>
        <v>7074.397</v>
      </c>
      <c r="T137" s="0" t="str">
        <f aca="false">Treatments!M105</f>
        <v>Added  </v>
      </c>
      <c r="U137" s="0" t="s">
        <v>22</v>
      </c>
      <c r="V137" s="0" t="n">
        <f aca="false">IF(OR($C$11="Any",U137="Any",U137=$C$11),8,0)</f>
        <v>8</v>
      </c>
      <c r="W137" s="0" t="n">
        <f aca="false">IF(LEFT(Treatments!AD105,3)="Yes",1,0)</f>
        <v>1</v>
      </c>
      <c r="X137" s="0" t="str">
        <f aca="false">Treatments!AE105</f>
        <v>Fatal &amp; injury only</v>
      </c>
      <c r="Y137" s="0" t="n">
        <f aca="false">IF($C$12="Any",5,IF($C$12=X137,5,IF(AND($C$12="Fatal &amp; injury only",X137="All crashes"),3,0)))</f>
        <v>5</v>
      </c>
      <c r="Z137" s="0" t="str">
        <f aca="false">Treatments!AE105&amp;" / "&amp;Treatments!AF105</f>
        <v>Fatal &amp; injury only / All crash types</v>
      </c>
      <c r="AA137" s="0" t="str">
        <f aca="false">IF(OR(Treatments!AH105="Overstates",Treatments!AH105="Check"),UPPER(Treatments!AH105)&amp;": "&amp;Treatments!AI105&amp;". ","")&amp;IF(Treatments!AG105="","",Treatments!AG105)</f>
        <v>No AADT range in the study.</v>
      </c>
    </row>
    <row r="138" customFormat="false" ht="12.75" hidden="true" customHeight="false" outlineLevel="0" collapsed="false">
      <c r="A138" s="0" t="n">
        <v>104</v>
      </c>
      <c r="B138" s="0" t="str">
        <f aca="false">Treatments!A106</f>
        <v>Conversion Of Intersection Into High-Speed Roundabout</v>
      </c>
      <c r="C138" s="0" t="str">
        <f aca="false">Treatments!B106</f>
        <v>CM: Roundabouts</v>
      </c>
      <c r="D138" s="0" t="n">
        <f aca="false">Treatments!Q106</f>
        <v>79</v>
      </c>
      <c r="E138" s="0" t="n">
        <f aca="false">Treatments!P106</f>
        <v>0.21</v>
      </c>
      <c r="F138" s="0" t="n">
        <f aca="false">IF(ISNUMBER(Treatments!N106),Treatments!N106,0)</f>
        <v>4</v>
      </c>
      <c r="G138" s="0" t="n">
        <f aca="false">IF(ISNUMBER(Treatments!U106),Treatments!U106,"")</f>
        <v>2000</v>
      </c>
      <c r="H138" s="0" t="n">
        <f aca="false">IF(ISNUMBER(Treatments!V106),Treatments!V106,"")</f>
        <v>12500</v>
      </c>
      <c r="I138" s="0" t="s">
        <v>72</v>
      </c>
      <c r="J138" s="0" t="s">
        <v>80</v>
      </c>
      <c r="K138" s="0" t="s">
        <v>22</v>
      </c>
      <c r="L138" s="0" t="s">
        <v>101</v>
      </c>
      <c r="M138" s="0" t="n">
        <f aca="false">IF(ISNUMBER(SEARCH("|"&amp;$C$7&amp;"|",L138)),45,IF(ISNUMBER(SEARCH("|All|",L138)),18,0))</f>
        <v>18</v>
      </c>
      <c r="N138" s="0" t="n">
        <f aca="false">IF(OR($C$4="Any",I138="All"),12,IF(ISNUMBER(SEARCH($C$4,I138)),12,0))</f>
        <v>12</v>
      </c>
      <c r="O138" s="0" t="n">
        <f aca="false">IF(OR($C$5="Any",J138="Any",J138=$C$5),13,0)</f>
        <v>13</v>
      </c>
      <c r="P138" s="0" t="n">
        <f aca="false">IF(OR($C$6="Any",K138="Any",K138=$C$6),10,0)</f>
        <v>10</v>
      </c>
      <c r="Q138" s="0" t="n">
        <f aca="false">IF($C$8="",4,IF(AND(ISNUMBER(G138),ISNUMBER(H138)),IF(AND($C$8&gt;=G138,$C$8&lt;=H138),7,0),4))</f>
        <v>4</v>
      </c>
      <c r="R138" s="0" t="n">
        <f aca="false">M138+N138+O138+P138+Q138+V138+Y138</f>
        <v>70</v>
      </c>
      <c r="S138" s="0" t="n">
        <f aca="false">IF(OR(M138=0,W138=0),-A138,R138*100+D138+F138*0.5-A138*0.001)</f>
        <v>7080.896</v>
      </c>
      <c r="T138" s="0" t="str">
        <f aca="false">Treatments!M106</f>
        <v>Added  </v>
      </c>
      <c r="U138" s="0" t="s">
        <v>22</v>
      </c>
      <c r="V138" s="0" t="n">
        <f aca="false">IF(OR($C$11="Any",U138="Any",U138=$C$11),8,0)</f>
        <v>8</v>
      </c>
      <c r="W138" s="0" t="n">
        <f aca="false">IF(LEFT(Treatments!AD106,3)="Yes",1,0)</f>
        <v>1</v>
      </c>
      <c r="X138" s="0" t="str">
        <f aca="false">Treatments!AE106</f>
        <v>Fatal &amp; injury only</v>
      </c>
      <c r="Y138" s="0" t="n">
        <f aca="false">IF($C$12="Any",5,IF($C$12=X138,5,IF(AND($C$12="Fatal &amp; injury only",X138="All crashes"),3,0)))</f>
        <v>5</v>
      </c>
      <c r="Z138" s="0" t="str">
        <f aca="false">Treatments!AE106&amp;" / "&amp;Treatments!AF106</f>
        <v>Fatal &amp; injury only / All crash types</v>
      </c>
      <c r="AA138" s="0" t="str">
        <f aca="false">IF(OR(Treatments!AH106="Overstates",Treatments!AH106="Check"),UPPER(Treatments!AH106)&amp;": "&amp;Treatments!AI106&amp;". ","")&amp;IF(Treatments!AG106="","",Treatments!AG106)</f>
        <v>AADT tested: 2,000-12,500.</v>
      </c>
    </row>
    <row r="139" customFormat="false" ht="12.75" hidden="true" customHeight="false" outlineLevel="0" collapsed="false">
      <c r="A139" s="0" t="n">
        <v>105</v>
      </c>
      <c r="B139" s="0" t="str">
        <f aca="false">Treatments!A107</f>
        <v>Conversion Of Signalized Intersection Into Single- Or Multi-Lane Roundabout</v>
      </c>
      <c r="C139" s="0" t="str">
        <f aca="false">Treatments!B107</f>
        <v>CM: Roundabouts</v>
      </c>
      <c r="D139" s="0" t="n">
        <f aca="false">Treatments!Q107</f>
        <v>74</v>
      </c>
      <c r="E139" s="0" t="n">
        <f aca="false">Treatments!P107</f>
        <v>0.26</v>
      </c>
      <c r="F139" s="0" t="n">
        <f aca="false">IF(ISNUMBER(Treatments!N107),Treatments!N107,0)</f>
        <v>4</v>
      </c>
      <c r="G139" s="0" t="str">
        <f aca="false">IF(ISNUMBER(Treatments!U107),Treatments!U107,"")</f>
        <v/>
      </c>
      <c r="H139" s="0" t="str">
        <f aca="false">IF(ISNUMBER(Treatments!V107),Treatments!V107,"")</f>
        <v/>
      </c>
      <c r="I139" s="0" t="s">
        <v>67</v>
      </c>
      <c r="J139" s="0" t="s">
        <v>80</v>
      </c>
      <c r="K139" s="0" t="s">
        <v>22</v>
      </c>
      <c r="L139" s="0" t="s">
        <v>101</v>
      </c>
      <c r="M139" s="0" t="n">
        <f aca="false">IF(ISNUMBER(SEARCH("|"&amp;$C$7&amp;"|",L139)),45,IF(ISNUMBER(SEARCH("|All|",L139)),18,0))</f>
        <v>18</v>
      </c>
      <c r="N139" s="0" t="n">
        <f aca="false">IF(OR($C$4="Any",I139="All"),12,IF(ISNUMBER(SEARCH($C$4,I139)),12,0))</f>
        <v>12</v>
      </c>
      <c r="O139" s="0" t="n">
        <f aca="false">IF(OR($C$5="Any",J139="Any",J139=$C$5),13,0)</f>
        <v>13</v>
      </c>
      <c r="P139" s="0" t="n">
        <f aca="false">IF(OR($C$6="Any",K139="Any",K139=$C$6),10,0)</f>
        <v>10</v>
      </c>
      <c r="Q139" s="0" t="n">
        <f aca="false">IF($C$8="",4,IF(AND(ISNUMBER(G139),ISNUMBER(H139)),IF(AND($C$8&gt;=G139,$C$8&lt;=H139),7,0),4))</f>
        <v>4</v>
      </c>
      <c r="R139" s="0" t="n">
        <f aca="false">M139+N139+O139+P139+Q139+V139+Y139</f>
        <v>70</v>
      </c>
      <c r="S139" s="0" t="n">
        <f aca="false">IF(OR(M139=0,W139=0),-A139,R139*100+D139+F139*0.5-A139*0.001)</f>
        <v>7075.895</v>
      </c>
      <c r="T139" s="0" t="str">
        <f aca="false">Treatments!M107</f>
        <v>Added  </v>
      </c>
      <c r="U139" s="0" t="s">
        <v>22</v>
      </c>
      <c r="V139" s="0" t="n">
        <f aca="false">IF(OR($C$11="Any",U139="Any",U139=$C$11),8,0)</f>
        <v>8</v>
      </c>
      <c r="W139" s="0" t="n">
        <f aca="false">IF(LEFT(Treatments!AD107,3)="Yes",1,0)</f>
        <v>1</v>
      </c>
      <c r="X139" s="0" t="str">
        <f aca="false">Treatments!AE107</f>
        <v>Fatal &amp; injury only</v>
      </c>
      <c r="Y139" s="0" t="n">
        <f aca="false">IF($C$12="Any",5,IF($C$12=X139,5,IF(AND($C$12="Fatal &amp; injury only",X139="All crashes"),3,0)))</f>
        <v>5</v>
      </c>
      <c r="Z139" s="0" t="str">
        <f aca="false">Treatments!AE107&amp;" / "&amp;Treatments!AF107</f>
        <v>Fatal &amp; injury only / All crash types</v>
      </c>
      <c r="AA139" s="0" t="str">
        <f aca="false">IF(OR(Treatments!AH107="Overstates",Treatments!AH107="Check"),UPPER(Treatments!AH107)&amp;": "&amp;Treatments!AI107&amp;". ","")&amp;IF(Treatments!AG107="","",Treatments!AG107)</f>
        <v>No AADT range in the study.</v>
      </c>
    </row>
    <row r="140" customFormat="false" ht="12.75" hidden="true" customHeight="false" outlineLevel="0" collapsed="false">
      <c r="A140" s="0" t="n">
        <v>106</v>
      </c>
      <c r="B140" s="0" t="str">
        <f aca="false">Treatments!A108</f>
        <v>Conversion Of Stop-Controlled Intersection Into Single-Lane Roundabout</v>
      </c>
      <c r="C140" s="0" t="str">
        <f aca="false">Treatments!B108</f>
        <v>CM: Roundabouts</v>
      </c>
      <c r="D140" s="0" t="n">
        <f aca="false">Treatments!Q108</f>
        <v>72</v>
      </c>
      <c r="E140" s="0" t="n">
        <f aca="false">Treatments!P108</f>
        <v>0.28</v>
      </c>
      <c r="F140" s="0" t="n">
        <f aca="false">IF(ISNUMBER(Treatments!N108),Treatments!N108,0)</f>
        <v>4</v>
      </c>
      <c r="G140" s="0" t="str">
        <f aca="false">IF(ISNUMBER(Treatments!U108),Treatments!U108,"")</f>
        <v/>
      </c>
      <c r="H140" s="0" t="str">
        <f aca="false">IF(ISNUMBER(Treatments!V108),Treatments!V108,"")</f>
        <v/>
      </c>
      <c r="I140" s="0" t="s">
        <v>67</v>
      </c>
      <c r="J140" s="0" t="s">
        <v>80</v>
      </c>
      <c r="K140" s="0" t="s">
        <v>22</v>
      </c>
      <c r="L140" s="0" t="s">
        <v>101</v>
      </c>
      <c r="M140" s="0" t="n">
        <f aca="false">IF(ISNUMBER(SEARCH("|"&amp;$C$7&amp;"|",L140)),45,IF(ISNUMBER(SEARCH("|All|",L140)),18,0))</f>
        <v>18</v>
      </c>
      <c r="N140" s="0" t="n">
        <f aca="false">IF(OR($C$4="Any",I140="All"),12,IF(ISNUMBER(SEARCH($C$4,I140)),12,0))</f>
        <v>12</v>
      </c>
      <c r="O140" s="0" t="n">
        <f aca="false">IF(OR($C$5="Any",J140="Any",J140=$C$5),13,0)</f>
        <v>13</v>
      </c>
      <c r="P140" s="0" t="n">
        <f aca="false">IF(OR($C$6="Any",K140="Any",K140=$C$6),10,0)</f>
        <v>10</v>
      </c>
      <c r="Q140" s="0" t="n">
        <f aca="false">IF($C$8="",4,IF(AND(ISNUMBER(G140),ISNUMBER(H140)),IF(AND($C$8&gt;=G140,$C$8&lt;=H140),7,0),4))</f>
        <v>4</v>
      </c>
      <c r="R140" s="0" t="n">
        <f aca="false">M140+N140+O140+P140+Q140+V140+Y140</f>
        <v>70</v>
      </c>
      <c r="S140" s="0" t="n">
        <f aca="false">IF(OR(M140=0,W140=0),-A140,R140*100+D140+F140*0.5-A140*0.001)</f>
        <v>7073.894</v>
      </c>
      <c r="T140" s="0" t="str">
        <f aca="false">Treatments!M108</f>
        <v>Added  </v>
      </c>
      <c r="U140" s="0" t="s">
        <v>22</v>
      </c>
      <c r="V140" s="0" t="n">
        <f aca="false">IF(OR($C$11="Any",U140="Any",U140=$C$11),8,0)</f>
        <v>8</v>
      </c>
      <c r="W140" s="0" t="n">
        <f aca="false">IF(LEFT(Treatments!AD108,3)="Yes",1,0)</f>
        <v>1</v>
      </c>
      <c r="X140" s="0" t="str">
        <f aca="false">Treatments!AE108</f>
        <v>All crashes</v>
      </c>
      <c r="Y140" s="0" t="n">
        <f aca="false">IF($C$12="Any",5,IF($C$12=X140,5,IF(AND($C$12="Fatal &amp; injury only",X140="All crashes"),3,0)))</f>
        <v>5</v>
      </c>
      <c r="Z140" s="0" t="str">
        <f aca="false">Treatments!AE108&amp;" / "&amp;Treatments!AF108</f>
        <v>All crashes / All crash types</v>
      </c>
      <c r="AA140" s="0" t="str">
        <f aca="false">IF(OR(Treatments!AH108="Overstates",Treatments!AH108="Check"),UPPER(Treatments!AH108)&amp;": "&amp;Treatments!AI108&amp;". ","")&amp;IF(Treatments!AG108="","",Treatments!AG108)</f>
        <v>No AADT range in the study.</v>
      </c>
    </row>
    <row r="141" customFormat="false" ht="12.75" hidden="true" customHeight="false" outlineLevel="0" collapsed="false">
      <c r="A141" s="0" t="n">
        <v>107</v>
      </c>
      <c r="B141" s="0" t="str">
        <f aca="false">Treatments!A109</f>
        <v>Convert Minor-Road Stop Control To All-Way Stop Control</v>
      </c>
      <c r="C141" s="0" t="str">
        <f aca="false">Treatments!B109</f>
        <v>CM: Convert Minor-Road Stop to All-Way Stop Control</v>
      </c>
      <c r="D141" s="0" t="n">
        <f aca="false">Treatments!Q109</f>
        <v>75</v>
      </c>
      <c r="E141" s="0" t="n">
        <f aca="false">Treatments!P109</f>
        <v>0.25</v>
      </c>
      <c r="F141" s="0" t="n">
        <f aca="false">IF(ISNUMBER(Treatments!N109),Treatments!N109,0)</f>
        <v>4</v>
      </c>
      <c r="G141" s="0" t="str">
        <f aca="false">IF(ISNUMBER(Treatments!U109),Treatments!U109,"")</f>
        <v/>
      </c>
      <c r="H141" s="0" t="str">
        <f aca="false">IF(ISNUMBER(Treatments!V109),Treatments!V109,"")</f>
        <v/>
      </c>
      <c r="I141" s="0" t="s">
        <v>67</v>
      </c>
      <c r="J141" s="0" t="s">
        <v>80</v>
      </c>
      <c r="K141" s="0" t="s">
        <v>102</v>
      </c>
      <c r="L141" s="0" t="s">
        <v>103</v>
      </c>
      <c r="M141" s="0" t="n">
        <f aca="false">IF(ISNUMBER(SEARCH("|"&amp;$C$7&amp;"|",L141)),45,IF(ISNUMBER(SEARCH("|All|",L141)),18,0))</f>
        <v>0</v>
      </c>
      <c r="N141" s="0" t="n">
        <f aca="false">IF(OR($C$4="Any",I141="All"),12,IF(ISNUMBER(SEARCH($C$4,I141)),12,0))</f>
        <v>12</v>
      </c>
      <c r="O141" s="0" t="n">
        <f aca="false">IF(OR($C$5="Any",J141="Any",J141=$C$5),13,0)</f>
        <v>13</v>
      </c>
      <c r="P141" s="0" t="n">
        <f aca="false">IF(OR($C$6="Any",K141="Any",K141=$C$6),10,0)</f>
        <v>10</v>
      </c>
      <c r="Q141" s="0" t="n">
        <f aca="false">IF($C$8="",4,IF(AND(ISNUMBER(G141),ISNUMBER(H141)),IF(AND($C$8&gt;=G141,$C$8&lt;=H141),7,0),4))</f>
        <v>4</v>
      </c>
      <c r="R141" s="0" t="n">
        <f aca="false">M141+N141+O141+P141+Q141+V141+Y141</f>
        <v>52</v>
      </c>
      <c r="S141" s="0" t="n">
        <f aca="false">IF(OR(M141=0,W141=0),-A141,R141*100+D141+F141*0.5-A141*0.001)</f>
        <v>-107</v>
      </c>
      <c r="T141" s="0" t="str">
        <f aca="false">Treatments!M109</f>
        <v>Added  </v>
      </c>
      <c r="U141" s="0" t="s">
        <v>22</v>
      </c>
      <c r="V141" s="0" t="n">
        <f aca="false">IF(OR($C$11="Any",U141="Any",U141=$C$11),8,0)</f>
        <v>8</v>
      </c>
      <c r="W141" s="0" t="n">
        <f aca="false">IF(LEFT(Treatments!AD109,3)="Yes",1,0)</f>
        <v>1</v>
      </c>
      <c r="X141" s="0" t="str">
        <f aca="false">Treatments!AE109</f>
        <v>All crashes</v>
      </c>
      <c r="Y141" s="0" t="n">
        <f aca="false">IF($C$12="Any",5,IF($C$12=X141,5,IF(AND($C$12="Fatal &amp; injury only",X141="All crashes"),3,0)))</f>
        <v>5</v>
      </c>
      <c r="Z141" s="0" t="str">
        <f aca="false">Treatments!AE109&amp;" / "&amp;Treatments!AF109</f>
        <v>All crashes / Only: Angle</v>
      </c>
      <c r="AA141" s="0" t="str">
        <f aca="false">IF(OR(Treatments!AH109="Overstates",Treatments!AH109="Check"),UPPER(Treatments!AH109)&amp;": "&amp;Treatments!AI109&amp;". ","")&amp;IF(Treatments!AG109="","",Treatments!AG109)</f>
        <v>No AADT range in the study.</v>
      </c>
    </row>
    <row r="142" customFormat="false" ht="12.75" hidden="true" customHeight="false" outlineLevel="0" collapsed="false">
      <c r="A142" s="0" t="n">
        <v>108</v>
      </c>
      <c r="B142" s="0" t="str">
        <f aca="false">Treatments!A110</f>
        <v>Install An Intersection Conflict Warning System (ICWS) With Post Mounted Signs (Various Messages) And Flashers In Advance Of The Intersection On Major; Loop On Minor</v>
      </c>
      <c r="C142" s="0" t="str">
        <f aca="false">Treatments!B110</f>
        <v>CM: Intersection Conflict Warning Systems (ICWS)</v>
      </c>
      <c r="D142" s="0" t="n">
        <f aca="false">Treatments!Q110</f>
        <v>48.1</v>
      </c>
      <c r="E142" s="0" t="n">
        <f aca="false">Treatments!P110</f>
        <v>0.519</v>
      </c>
      <c r="F142" s="0" t="n">
        <f aca="false">IF(ISNUMBER(Treatments!N110),Treatments!N110,0)</f>
        <v>5</v>
      </c>
      <c r="G142" s="0" t="str">
        <f aca="false">IF(ISNUMBER(Treatments!U110),Treatments!U110,"")</f>
        <v/>
      </c>
      <c r="H142" s="0" t="str">
        <f aca="false">IF(ISNUMBER(Treatments!V110),Treatments!V110,"")</f>
        <v/>
      </c>
      <c r="I142" s="0" t="s">
        <v>73</v>
      </c>
      <c r="J142" s="0" t="s">
        <v>80</v>
      </c>
      <c r="K142" s="0" t="s">
        <v>102</v>
      </c>
      <c r="L142" s="0" t="s">
        <v>104</v>
      </c>
      <c r="M142" s="0" t="n">
        <f aca="false">IF(ISNUMBER(SEARCH("|"&amp;$C$7&amp;"|",L142)),45,IF(ISNUMBER(SEARCH("|All|",L142)),18,0))</f>
        <v>18</v>
      </c>
      <c r="N142" s="0" t="n">
        <f aca="false">IF(OR($C$4="Any",I142="All"),12,IF(ISNUMBER(SEARCH($C$4,I142)),12,0))</f>
        <v>12</v>
      </c>
      <c r="O142" s="0" t="n">
        <f aca="false">IF(OR($C$5="Any",J142="Any",J142=$C$5),13,0)</f>
        <v>13</v>
      </c>
      <c r="P142" s="0" t="n">
        <f aca="false">IF(OR($C$6="Any",K142="Any",K142=$C$6),10,0)</f>
        <v>10</v>
      </c>
      <c r="Q142" s="0" t="n">
        <f aca="false">IF($C$8="",4,IF(AND(ISNUMBER(G142),ISNUMBER(H142)),IF(AND($C$8&gt;=G142,$C$8&lt;=H142),7,0),4))</f>
        <v>4</v>
      </c>
      <c r="R142" s="0" t="n">
        <f aca="false">M142+N142+O142+P142+Q142+V142+Y142</f>
        <v>70</v>
      </c>
      <c r="S142" s="0" t="n">
        <f aca="false">IF(OR(M142=0,W142=0),-A142,R142*100+D142+F142*0.5-A142*0.001)</f>
        <v>7050.492</v>
      </c>
      <c r="T142" s="0" t="str">
        <f aca="false">Treatments!M110</f>
        <v>Added  </v>
      </c>
      <c r="U142" s="0" t="s">
        <v>22</v>
      </c>
      <c r="V142" s="0" t="n">
        <f aca="false">IF(OR($C$11="Any",U142="Any",U142=$C$11),8,0)</f>
        <v>8</v>
      </c>
      <c r="W142" s="0" t="n">
        <f aca="false">IF(LEFT(Treatments!AD110,3)="Yes",1,0)</f>
        <v>1</v>
      </c>
      <c r="X142" s="0" t="str">
        <f aca="false">Treatments!AE110</f>
        <v>All crashes</v>
      </c>
      <c r="Y142" s="0" t="n">
        <f aca="false">IF($C$12="Any",5,IF($C$12=X142,5,IF(AND($C$12="Fatal &amp; injury only",X142="All crashes"),3,0)))</f>
        <v>5</v>
      </c>
      <c r="Z142" s="0" t="str">
        <f aca="false">Treatments!AE110&amp;" / "&amp;Treatments!AF110</f>
        <v>All crashes / All crash types</v>
      </c>
      <c r="AA142" s="0" t="str">
        <f aca="false">IF(OR(Treatments!AH110="Overstates",Treatments!AH110="Check"),UPPER(Treatments!AH110)&amp;": "&amp;Treatments!AI110&amp;". ","")&amp;IF(Treatments!AG110="","",Treatments!AG110)</f>
        <v>No AADT range in the study.</v>
      </c>
    </row>
    <row r="143" customFormat="false" ht="12.75" hidden="true" customHeight="false" outlineLevel="0" collapsed="false">
      <c r="A143" s="0" t="n">
        <v>109</v>
      </c>
      <c r="B143" s="0" t="str">
        <f aca="false">Treatments!A111</f>
        <v>Install Intersection Conflict Warning Systems (ICWS) For Two-Lane At Two-Lane Intersections</v>
      </c>
      <c r="C143" s="0" t="str">
        <f aca="false">Treatments!B111</f>
        <v>CM: Intersection Conflict Warning Systems (ICWS)</v>
      </c>
      <c r="D143" s="0" t="n">
        <f aca="false">Treatments!Q111</f>
        <v>31</v>
      </c>
      <c r="E143" s="0" t="n">
        <f aca="false">Treatments!P111</f>
        <v>0.69</v>
      </c>
      <c r="F143" s="0" t="n">
        <f aca="false">IF(ISNUMBER(Treatments!N111),Treatments!N111,0)</f>
        <v>5</v>
      </c>
      <c r="G143" s="0" t="str">
        <f aca="false">IF(ISNUMBER(Treatments!U111),Treatments!U111,"")</f>
        <v/>
      </c>
      <c r="H143" s="0" t="str">
        <f aca="false">IF(ISNUMBER(Treatments!V111),Treatments!V111,"")</f>
        <v/>
      </c>
      <c r="I143" s="0" t="s">
        <v>73</v>
      </c>
      <c r="J143" s="0" t="s">
        <v>80</v>
      </c>
      <c r="K143" s="0" t="s">
        <v>102</v>
      </c>
      <c r="L143" s="0" t="s">
        <v>104</v>
      </c>
      <c r="M143" s="0" t="n">
        <f aca="false">IF(ISNUMBER(SEARCH("|"&amp;$C$7&amp;"|",L143)),45,IF(ISNUMBER(SEARCH("|All|",L143)),18,0))</f>
        <v>18</v>
      </c>
      <c r="N143" s="0" t="n">
        <f aca="false">IF(OR($C$4="Any",I143="All"),12,IF(ISNUMBER(SEARCH($C$4,I143)),12,0))</f>
        <v>12</v>
      </c>
      <c r="O143" s="0" t="n">
        <f aca="false">IF(OR($C$5="Any",J143="Any",J143=$C$5),13,0)</f>
        <v>13</v>
      </c>
      <c r="P143" s="0" t="n">
        <f aca="false">IF(OR($C$6="Any",K143="Any",K143=$C$6),10,0)</f>
        <v>10</v>
      </c>
      <c r="Q143" s="0" t="n">
        <f aca="false">IF($C$8="",4,IF(AND(ISNUMBER(G143),ISNUMBER(H143)),IF(AND($C$8&gt;=G143,$C$8&lt;=H143),7,0),4))</f>
        <v>4</v>
      </c>
      <c r="R143" s="0" t="n">
        <f aca="false">M143+N143+O143+P143+Q143+V143+Y143</f>
        <v>70</v>
      </c>
      <c r="S143" s="0" t="n">
        <f aca="false">IF(OR(M143=0,W143=0),-A143,R143*100+D143+F143*0.5-A143*0.001)</f>
        <v>7033.391</v>
      </c>
      <c r="T143" s="0" t="str">
        <f aca="false">Treatments!M111</f>
        <v>Added  </v>
      </c>
      <c r="U143" s="0" t="s">
        <v>22</v>
      </c>
      <c r="V143" s="0" t="n">
        <f aca="false">IF(OR($C$11="Any",U143="Any",U143=$C$11),8,0)</f>
        <v>8</v>
      </c>
      <c r="W143" s="0" t="n">
        <f aca="false">IF(LEFT(Treatments!AD111,3)="Yes",1,0)</f>
        <v>1</v>
      </c>
      <c r="X143" s="0" t="str">
        <f aca="false">Treatments!AE111</f>
        <v>Fatal &amp; injury only</v>
      </c>
      <c r="Y143" s="0" t="n">
        <f aca="false">IF($C$12="Any",5,IF($C$12=X143,5,IF(AND($C$12="Fatal &amp; injury only",X143="All crashes"),3,0)))</f>
        <v>5</v>
      </c>
      <c r="Z143" s="0" t="str">
        <f aca="false">Treatments!AE111&amp;" / "&amp;Treatments!AF111</f>
        <v>Fatal &amp; injury only / All crash types</v>
      </c>
      <c r="AA143" s="0" t="str">
        <f aca="false">IF(OR(Treatments!AH111="Overstates",Treatments!AH111="Check"),UPPER(Treatments!AH111)&amp;": "&amp;Treatments!AI111&amp;". ","")&amp;IF(Treatments!AG111="","",Treatments!AG111)</f>
        <v>No AADT range in the study.</v>
      </c>
    </row>
    <row r="144" customFormat="false" ht="12.75" hidden="true" customHeight="false" outlineLevel="0" collapsed="false">
      <c r="A144" s="0" t="n">
        <v>110</v>
      </c>
      <c r="B144" s="0" t="str">
        <f aca="false">Treatments!A112</f>
        <v>Install An Intersection Conflict Warning System (ICWS) With A Combination Of Overhead And Advanced Post Mounted Signs (Various Messages) And Flashers</v>
      </c>
      <c r="C144" s="0" t="str">
        <f aca="false">Treatments!B112</f>
        <v>CM: Intersection Conflict Warning Systems (ICWS)</v>
      </c>
      <c r="D144" s="0" t="n">
        <f aca="false">Treatments!Q112</f>
        <v>29.6</v>
      </c>
      <c r="E144" s="0" t="n">
        <f aca="false">Treatments!P112</f>
        <v>0.704</v>
      </c>
      <c r="F144" s="0" t="n">
        <f aca="false">IF(ISNUMBER(Treatments!N112),Treatments!N112,0)</f>
        <v>5</v>
      </c>
      <c r="G144" s="0" t="str">
        <f aca="false">IF(ISNUMBER(Treatments!U112),Treatments!U112,"")</f>
        <v/>
      </c>
      <c r="H144" s="0" t="str">
        <f aca="false">IF(ISNUMBER(Treatments!V112),Treatments!V112,"")</f>
        <v/>
      </c>
      <c r="I144" s="0" t="s">
        <v>73</v>
      </c>
      <c r="J144" s="0" t="s">
        <v>80</v>
      </c>
      <c r="K144" s="0" t="s">
        <v>102</v>
      </c>
      <c r="L144" s="0" t="s">
        <v>104</v>
      </c>
      <c r="M144" s="0" t="n">
        <f aca="false">IF(ISNUMBER(SEARCH("|"&amp;$C$7&amp;"|",L144)),45,IF(ISNUMBER(SEARCH("|All|",L144)),18,0))</f>
        <v>18</v>
      </c>
      <c r="N144" s="0" t="n">
        <f aca="false">IF(OR($C$4="Any",I144="All"),12,IF(ISNUMBER(SEARCH($C$4,I144)),12,0))</f>
        <v>12</v>
      </c>
      <c r="O144" s="0" t="n">
        <f aca="false">IF(OR($C$5="Any",J144="Any",J144=$C$5),13,0)</f>
        <v>13</v>
      </c>
      <c r="P144" s="0" t="n">
        <f aca="false">IF(OR($C$6="Any",K144="Any",K144=$C$6),10,0)</f>
        <v>10</v>
      </c>
      <c r="Q144" s="0" t="n">
        <f aca="false">IF($C$8="",4,IF(AND(ISNUMBER(G144),ISNUMBER(H144)),IF(AND($C$8&gt;=G144,$C$8&lt;=H144),7,0),4))</f>
        <v>4</v>
      </c>
      <c r="R144" s="0" t="n">
        <f aca="false">M144+N144+O144+P144+Q144+V144+Y144</f>
        <v>70</v>
      </c>
      <c r="S144" s="0" t="n">
        <f aca="false">IF(OR(M144=0,W144=0),-A144,R144*100+D144+F144*0.5-A144*0.001)</f>
        <v>7031.99</v>
      </c>
      <c r="T144" s="0" t="str">
        <f aca="false">Treatments!M112</f>
        <v>Added  </v>
      </c>
      <c r="U144" s="0" t="s">
        <v>22</v>
      </c>
      <c r="V144" s="0" t="n">
        <f aca="false">IF(OR($C$11="Any",U144="Any",U144=$C$11),8,0)</f>
        <v>8</v>
      </c>
      <c r="W144" s="0" t="n">
        <f aca="false">IF(LEFT(Treatments!AD112,3)="Yes",1,0)</f>
        <v>1</v>
      </c>
      <c r="X144" s="0" t="str">
        <f aca="false">Treatments!AE112</f>
        <v>All crashes</v>
      </c>
      <c r="Y144" s="0" t="n">
        <f aca="false">IF($C$12="Any",5,IF($C$12=X144,5,IF(AND($C$12="Fatal &amp; injury only",X144="All crashes"),3,0)))</f>
        <v>5</v>
      </c>
      <c r="Z144" s="0" t="str">
        <f aca="false">Treatments!AE112&amp;" / "&amp;Treatments!AF112</f>
        <v>All crashes / All crash types</v>
      </c>
      <c r="AA144" s="0" t="str">
        <f aca="false">IF(OR(Treatments!AH112="Overstates",Treatments!AH112="Check"),UPPER(Treatments!AH112)&amp;": "&amp;Treatments!AI112&amp;". ","")&amp;IF(Treatments!AG112="","",Treatments!AG112)</f>
        <v>No AADT range in the study.</v>
      </c>
    </row>
    <row r="145" customFormat="false" ht="12.75" hidden="true" customHeight="false" outlineLevel="0" collapsed="false">
      <c r="A145" s="0" t="n">
        <v>111</v>
      </c>
      <c r="B145" s="0" t="str">
        <f aca="false">Treatments!A113</f>
        <v>Install Intersection Conflict Warning Systems (ICWS) For Four-Lane At Two-Lane Intersections</v>
      </c>
      <c r="C145" s="0" t="str">
        <f aca="false">Treatments!B113</f>
        <v>CM: Intersection Conflict Warning Systems (ICWS)</v>
      </c>
      <c r="D145" s="0" t="n">
        <f aca="false">Treatments!Q113</f>
        <v>20</v>
      </c>
      <c r="E145" s="0" t="n">
        <f aca="false">Treatments!P113</f>
        <v>0.8</v>
      </c>
      <c r="F145" s="0" t="n">
        <f aca="false">IF(ISNUMBER(Treatments!N113),Treatments!N113,0)</f>
        <v>5</v>
      </c>
      <c r="G145" s="0" t="str">
        <f aca="false">IF(ISNUMBER(Treatments!U113),Treatments!U113,"")</f>
        <v/>
      </c>
      <c r="H145" s="0" t="str">
        <f aca="false">IF(ISNUMBER(Treatments!V113),Treatments!V113,"")</f>
        <v/>
      </c>
      <c r="I145" s="0" t="s">
        <v>73</v>
      </c>
      <c r="J145" s="0" t="s">
        <v>80</v>
      </c>
      <c r="K145" s="0" t="s">
        <v>102</v>
      </c>
      <c r="L145" s="0" t="s">
        <v>104</v>
      </c>
      <c r="M145" s="0" t="n">
        <f aca="false">IF(ISNUMBER(SEARCH("|"&amp;$C$7&amp;"|",L145)),45,IF(ISNUMBER(SEARCH("|All|",L145)),18,0))</f>
        <v>18</v>
      </c>
      <c r="N145" s="0" t="n">
        <f aca="false">IF(OR($C$4="Any",I145="All"),12,IF(ISNUMBER(SEARCH($C$4,I145)),12,0))</f>
        <v>12</v>
      </c>
      <c r="O145" s="0" t="n">
        <f aca="false">IF(OR($C$5="Any",J145="Any",J145=$C$5),13,0)</f>
        <v>13</v>
      </c>
      <c r="P145" s="0" t="n">
        <f aca="false">IF(OR($C$6="Any",K145="Any",K145=$C$6),10,0)</f>
        <v>10</v>
      </c>
      <c r="Q145" s="0" t="n">
        <f aca="false">IF($C$8="",4,IF(AND(ISNUMBER(G145),ISNUMBER(H145)),IF(AND($C$8&gt;=G145,$C$8&lt;=H145),7,0),4))</f>
        <v>4</v>
      </c>
      <c r="R145" s="0" t="n">
        <f aca="false">M145+N145+O145+P145+Q145+V145+Y145</f>
        <v>70</v>
      </c>
      <c r="S145" s="0" t="n">
        <f aca="false">IF(OR(M145=0,W145=0),-A145,R145*100+D145+F145*0.5-A145*0.001)</f>
        <v>7022.389</v>
      </c>
      <c r="T145" s="0" t="str">
        <f aca="false">Treatments!M113</f>
        <v>Added  </v>
      </c>
      <c r="U145" s="0" t="s">
        <v>22</v>
      </c>
      <c r="V145" s="0" t="n">
        <f aca="false">IF(OR($C$11="Any",U145="Any",U145=$C$11),8,0)</f>
        <v>8</v>
      </c>
      <c r="W145" s="0" t="n">
        <f aca="false">IF(LEFT(Treatments!AD113,3)="Yes",1,0)</f>
        <v>1</v>
      </c>
      <c r="X145" s="0" t="str">
        <f aca="false">Treatments!AE113</f>
        <v>Fatal &amp; injury only</v>
      </c>
      <c r="Y145" s="0" t="n">
        <f aca="false">IF($C$12="Any",5,IF($C$12=X145,5,IF(AND($C$12="Fatal &amp; injury only",X145="All crashes"),3,0)))</f>
        <v>5</v>
      </c>
      <c r="Z145" s="0" t="str">
        <f aca="false">Treatments!AE113&amp;" / "&amp;Treatments!AF113</f>
        <v>Fatal &amp; injury only / All crash types</v>
      </c>
      <c r="AA145" s="0" t="str">
        <f aca="false">IF(OR(Treatments!AH113="Overstates",Treatments!AH113="Check"),UPPER(Treatments!AH113)&amp;": "&amp;Treatments!AI113&amp;". ","")&amp;IF(Treatments!AG113="","",Treatments!AG113)</f>
        <v>No AADT range in the study.</v>
      </c>
    </row>
    <row r="146" customFormat="false" ht="12.75" hidden="true" customHeight="false" outlineLevel="0" collapsed="false">
      <c r="A146" s="0" t="n">
        <v>112</v>
      </c>
      <c r="B146" s="0" t="str">
        <f aca="false">Treatments!A114</f>
        <v>Install An Intersection Conflict Warning System (ICWS) With Overhead Signs (Various Messages) And Flashers At The Intersection On Major; Loop On Minor</v>
      </c>
      <c r="C146" s="0" t="str">
        <f aca="false">Treatments!B114</f>
        <v>CM: Intersection Conflict Warning Systems (ICWS)</v>
      </c>
      <c r="D146" s="0" t="n">
        <f aca="false">Treatments!Q114</f>
        <v>40</v>
      </c>
      <c r="E146" s="0" t="n">
        <f aca="false">Treatments!P114</f>
        <v>0.6</v>
      </c>
      <c r="F146" s="0" t="n">
        <f aca="false">IF(ISNUMBER(Treatments!N114),Treatments!N114,0)</f>
        <v>4</v>
      </c>
      <c r="G146" s="0" t="str">
        <f aca="false">IF(ISNUMBER(Treatments!U114),Treatments!U114,"")</f>
        <v/>
      </c>
      <c r="H146" s="0" t="str">
        <f aca="false">IF(ISNUMBER(Treatments!V114),Treatments!V114,"")</f>
        <v/>
      </c>
      <c r="I146" s="0" t="s">
        <v>73</v>
      </c>
      <c r="J146" s="0" t="s">
        <v>80</v>
      </c>
      <c r="K146" s="0" t="s">
        <v>102</v>
      </c>
      <c r="L146" s="0" t="s">
        <v>104</v>
      </c>
      <c r="M146" s="0" t="n">
        <f aca="false">IF(ISNUMBER(SEARCH("|"&amp;$C$7&amp;"|",L146)),45,IF(ISNUMBER(SEARCH("|All|",L146)),18,0))</f>
        <v>18</v>
      </c>
      <c r="N146" s="0" t="n">
        <f aca="false">IF(OR($C$4="Any",I146="All"),12,IF(ISNUMBER(SEARCH($C$4,I146)),12,0))</f>
        <v>12</v>
      </c>
      <c r="O146" s="0" t="n">
        <f aca="false">IF(OR($C$5="Any",J146="Any",J146=$C$5),13,0)</f>
        <v>13</v>
      </c>
      <c r="P146" s="0" t="n">
        <f aca="false">IF(OR($C$6="Any",K146="Any",K146=$C$6),10,0)</f>
        <v>10</v>
      </c>
      <c r="Q146" s="0" t="n">
        <f aca="false">IF($C$8="",4,IF(AND(ISNUMBER(G146),ISNUMBER(H146)),IF(AND($C$8&gt;=G146,$C$8&lt;=H146),7,0),4))</f>
        <v>4</v>
      </c>
      <c r="R146" s="0" t="n">
        <f aca="false">M146+N146+O146+P146+Q146+V146+Y146</f>
        <v>70</v>
      </c>
      <c r="S146" s="0" t="n">
        <f aca="false">IF(OR(M146=0,W146=0),-A146,R146*100+D146+F146*0.5-A146*0.001)</f>
        <v>7041.888</v>
      </c>
      <c r="T146" s="0" t="str">
        <f aca="false">Treatments!M114</f>
        <v>Added  </v>
      </c>
      <c r="U146" s="0" t="s">
        <v>22</v>
      </c>
      <c r="V146" s="0" t="n">
        <f aca="false">IF(OR($C$11="Any",U146="Any",U146=$C$11),8,0)</f>
        <v>8</v>
      </c>
      <c r="W146" s="0" t="n">
        <f aca="false">IF(LEFT(Treatments!AD114,3)="Yes",1,0)</f>
        <v>1</v>
      </c>
      <c r="X146" s="0" t="str">
        <f aca="false">Treatments!AE114</f>
        <v>Fatal &amp; injury only</v>
      </c>
      <c r="Y146" s="0" t="n">
        <f aca="false">IF($C$12="Any",5,IF($C$12=X146,5,IF(AND($C$12="Fatal &amp; injury only",X146="All crashes"),3,0)))</f>
        <v>5</v>
      </c>
      <c r="Z146" s="0" t="str">
        <f aca="false">Treatments!AE114&amp;" / "&amp;Treatments!AF114</f>
        <v>Fatal &amp; injury only / All crash types</v>
      </c>
      <c r="AA146" s="0" t="str">
        <f aca="false">IF(OR(Treatments!AH114="Overstates",Treatments!AH114="Check"),UPPER(Treatments!AH114)&amp;": "&amp;Treatments!AI114&amp;". ","")&amp;IF(Treatments!AG114="","",Treatments!AG114)</f>
        <v>No AADT range in the study.</v>
      </c>
    </row>
    <row r="147" customFormat="false" ht="12.75" hidden="true" customHeight="false" outlineLevel="0" collapsed="false">
      <c r="A147" s="0" t="n">
        <v>113</v>
      </c>
      <c r="B147" s="0" t="str">
        <f aca="false">Treatments!A115</f>
        <v>Install An Intersection Conflict Warning System (ICWS) With Post Mounted Signs (Various Messages) And Flashers At The Intersection On Minor; Loop On Major</v>
      </c>
      <c r="C147" s="0" t="str">
        <f aca="false">Treatments!B115</f>
        <v>CM: Intersection Conflict Warning Systems (ICWS)</v>
      </c>
      <c r="D147" s="0" t="n">
        <f aca="false">Treatments!Q115</f>
        <v>31</v>
      </c>
      <c r="E147" s="0" t="n">
        <f aca="false">Treatments!P115</f>
        <v>0.69</v>
      </c>
      <c r="F147" s="0" t="n">
        <f aca="false">IF(ISNUMBER(Treatments!N115),Treatments!N115,0)</f>
        <v>4</v>
      </c>
      <c r="G147" s="0" t="str">
        <f aca="false">IF(ISNUMBER(Treatments!U115),Treatments!U115,"")</f>
        <v/>
      </c>
      <c r="H147" s="0" t="str">
        <f aca="false">IF(ISNUMBER(Treatments!V115),Treatments!V115,"")</f>
        <v/>
      </c>
      <c r="I147" s="0" t="s">
        <v>73</v>
      </c>
      <c r="J147" s="0" t="s">
        <v>80</v>
      </c>
      <c r="K147" s="0" t="s">
        <v>102</v>
      </c>
      <c r="L147" s="0" t="s">
        <v>104</v>
      </c>
      <c r="M147" s="0" t="n">
        <f aca="false">IF(ISNUMBER(SEARCH("|"&amp;$C$7&amp;"|",L147)),45,IF(ISNUMBER(SEARCH("|All|",L147)),18,0))</f>
        <v>18</v>
      </c>
      <c r="N147" s="0" t="n">
        <f aca="false">IF(OR($C$4="Any",I147="All"),12,IF(ISNUMBER(SEARCH($C$4,I147)),12,0))</f>
        <v>12</v>
      </c>
      <c r="O147" s="0" t="n">
        <f aca="false">IF(OR($C$5="Any",J147="Any",J147=$C$5),13,0)</f>
        <v>13</v>
      </c>
      <c r="P147" s="0" t="n">
        <f aca="false">IF(OR($C$6="Any",K147="Any",K147=$C$6),10,0)</f>
        <v>10</v>
      </c>
      <c r="Q147" s="0" t="n">
        <f aca="false">IF($C$8="",4,IF(AND(ISNUMBER(G147),ISNUMBER(H147)),IF(AND($C$8&gt;=G147,$C$8&lt;=H147),7,0),4))</f>
        <v>4</v>
      </c>
      <c r="R147" s="0" t="n">
        <f aca="false">M147+N147+O147+P147+Q147+V147+Y147</f>
        <v>70</v>
      </c>
      <c r="S147" s="0" t="n">
        <f aca="false">IF(OR(M147=0,W147=0),-A147,R147*100+D147+F147*0.5-A147*0.001)</f>
        <v>7032.887</v>
      </c>
      <c r="T147" s="0" t="str">
        <f aca="false">Treatments!M115</f>
        <v>Added  </v>
      </c>
      <c r="U147" s="0" t="s">
        <v>22</v>
      </c>
      <c r="V147" s="0" t="n">
        <f aca="false">IF(OR($C$11="Any",U147="Any",U147=$C$11),8,0)</f>
        <v>8</v>
      </c>
      <c r="W147" s="0" t="n">
        <f aca="false">IF(LEFT(Treatments!AD115,3)="Yes",1,0)</f>
        <v>1</v>
      </c>
      <c r="X147" s="0" t="str">
        <f aca="false">Treatments!AE115</f>
        <v>All crashes</v>
      </c>
      <c r="Y147" s="0" t="n">
        <f aca="false">IF($C$12="Any",5,IF($C$12=X147,5,IF(AND($C$12="Fatal &amp; injury only",X147="All crashes"),3,0)))</f>
        <v>5</v>
      </c>
      <c r="Z147" s="0" t="str">
        <f aca="false">Treatments!AE115&amp;" / "&amp;Treatments!AF115</f>
        <v>All crashes / All crash types</v>
      </c>
      <c r="AA147" s="0" t="str">
        <f aca="false">IF(OR(Treatments!AH115="Overstates",Treatments!AH115="Check"),UPPER(Treatments!AH115)&amp;": "&amp;Treatments!AI115&amp;". ","")&amp;IF(Treatments!AG115="","",Treatments!AG115)</f>
        <v>No AADT range in the study.</v>
      </c>
    </row>
    <row r="148" customFormat="false" ht="12.75" hidden="true" customHeight="false" outlineLevel="0" collapsed="false">
      <c r="A148" s="0" t="n">
        <v>114</v>
      </c>
      <c r="B148" s="0" t="str">
        <f aca="false">Treatments!A116</f>
        <v>Implement Systemic Signing And Marking Improvements At Stop-Controlled Intersections</v>
      </c>
      <c r="C148" s="0" t="str">
        <f aca="false">Treatments!B116</f>
        <v>CM: Systemic Application of Multiple Low-Cost Countermeasures at Stop-Controlled Intersections</v>
      </c>
      <c r="D148" s="0" t="n">
        <f aca="false">Treatments!Q116</f>
        <v>10.1</v>
      </c>
      <c r="E148" s="0" t="n">
        <f aca="false">Treatments!P116</f>
        <v>0.899</v>
      </c>
      <c r="F148" s="0" t="n">
        <f aca="false">IF(ISNUMBER(Treatments!N116),Treatments!N116,0)</f>
        <v>4</v>
      </c>
      <c r="G148" s="0" t="n">
        <f aca="false">IF(ISNUMBER(Treatments!U116),Treatments!U116,"")</f>
        <v>641</v>
      </c>
      <c r="H148" s="0" t="n">
        <f aca="false">IF(ISNUMBER(Treatments!V116),Treatments!V116,"")</f>
        <v>41731</v>
      </c>
      <c r="I148" s="0" t="s">
        <v>72</v>
      </c>
      <c r="J148" s="0" t="s">
        <v>80</v>
      </c>
      <c r="K148" s="0" t="s">
        <v>102</v>
      </c>
      <c r="L148" s="0" t="s">
        <v>104</v>
      </c>
      <c r="M148" s="0" t="n">
        <f aca="false">IF(ISNUMBER(SEARCH("|"&amp;$C$7&amp;"|",L148)),45,IF(ISNUMBER(SEARCH("|All|",L148)),18,0))</f>
        <v>18</v>
      </c>
      <c r="N148" s="0" t="n">
        <f aca="false">IF(OR($C$4="Any",I148="All"),12,IF(ISNUMBER(SEARCH($C$4,I148)),12,0))</f>
        <v>12</v>
      </c>
      <c r="O148" s="0" t="n">
        <f aca="false">IF(OR($C$5="Any",J148="Any",J148=$C$5),13,0)</f>
        <v>13</v>
      </c>
      <c r="P148" s="0" t="n">
        <f aca="false">IF(OR($C$6="Any",K148="Any",K148=$C$6),10,0)</f>
        <v>10</v>
      </c>
      <c r="Q148" s="0" t="n">
        <f aca="false">IF($C$8="",4,IF(AND(ISNUMBER(G148),ISNUMBER(H148)),IF(AND($C$8&gt;=G148,$C$8&lt;=H148),7,0),4))</f>
        <v>4</v>
      </c>
      <c r="R148" s="0" t="n">
        <f aca="false">M148+N148+O148+P148+Q148+V148+Y148</f>
        <v>70</v>
      </c>
      <c r="S148" s="0" t="n">
        <f aca="false">IF(OR(M148=0,W148=0),-A148,R148*100+D148+F148*0.5-A148*0.001)</f>
        <v>7011.986</v>
      </c>
      <c r="T148" s="0" t="str">
        <f aca="false">Treatments!M116</f>
        <v>Original </v>
      </c>
      <c r="U148" s="0" t="s">
        <v>22</v>
      </c>
      <c r="V148" s="0" t="n">
        <f aca="false">IF(OR($C$11="Any",U148="Any",U148=$C$11),8,0)</f>
        <v>8</v>
      </c>
      <c r="W148" s="0" t="n">
        <f aca="false">IF(LEFT(Treatments!AD116,3)="Yes",1,0)</f>
        <v>1</v>
      </c>
      <c r="X148" s="0" t="str">
        <f aca="false">Treatments!AE116</f>
        <v>Fatal &amp; injury only</v>
      </c>
      <c r="Y148" s="0" t="n">
        <f aca="false">IF($C$12="Any",5,IF($C$12=X148,5,IF(AND($C$12="Fatal &amp; injury only",X148="All crashes"),3,0)))</f>
        <v>5</v>
      </c>
      <c r="Z148" s="0" t="str">
        <f aca="false">Treatments!AE116&amp;" / "&amp;Treatments!AF116</f>
        <v>Fatal &amp; injury only / All crash types</v>
      </c>
      <c r="AA148" s="0" t="str">
        <f aca="false">IF(OR(Treatments!AH116="Overstates",Treatments!AH116="Check"),UPPER(Treatments!AH116)&amp;": "&amp;Treatments!AI116&amp;". ","")&amp;IF(Treatments!AG116="","",Treatments!AG116)</f>
        <v>AADT tested: 641-41,731.</v>
      </c>
    </row>
    <row r="149" customFormat="false" ht="12.75" hidden="true" customHeight="false" outlineLevel="0" collapsed="false">
      <c r="A149" s="0" t="n">
        <v>115</v>
      </c>
      <c r="B149" s="0" t="str">
        <f aca="false">Treatments!A117</f>
        <v>Replace Standard Stop Sign With Flashing LED Stop Sign</v>
      </c>
      <c r="C149" s="0" t="str">
        <f aca="false">Treatments!B117</f>
        <v>CM: Systemic Application of Multiple Low-Cost Countermeasures at Stop-Controlled Intersections</v>
      </c>
      <c r="D149" s="0" t="n">
        <f aca="false">Treatments!Q117</f>
        <v>41.5</v>
      </c>
      <c r="E149" s="0" t="n">
        <f aca="false">Treatments!P117</f>
        <v>0.585</v>
      </c>
      <c r="F149" s="0" t="n">
        <f aca="false">IF(ISNUMBER(Treatments!N117),Treatments!N117,0)</f>
        <v>4</v>
      </c>
      <c r="G149" s="0" t="str">
        <f aca="false">IF(ISNUMBER(Treatments!U117),Treatments!U117,"")</f>
        <v/>
      </c>
      <c r="H149" s="0" t="str">
        <f aca="false">IF(ISNUMBER(Treatments!V117),Treatments!V117,"")</f>
        <v/>
      </c>
      <c r="I149" s="0" t="s">
        <v>72</v>
      </c>
      <c r="J149" s="0" t="s">
        <v>80</v>
      </c>
      <c r="K149" s="0" t="s">
        <v>102</v>
      </c>
      <c r="L149" s="0" t="s">
        <v>103</v>
      </c>
      <c r="M149" s="0" t="n">
        <f aca="false">IF(ISNUMBER(SEARCH("|"&amp;$C$7&amp;"|",L149)),45,IF(ISNUMBER(SEARCH("|All|",L149)),18,0))</f>
        <v>0</v>
      </c>
      <c r="N149" s="0" t="n">
        <f aca="false">IF(OR($C$4="Any",I149="All"),12,IF(ISNUMBER(SEARCH($C$4,I149)),12,0))</f>
        <v>12</v>
      </c>
      <c r="O149" s="0" t="n">
        <f aca="false">IF(OR($C$5="Any",J149="Any",J149=$C$5),13,0)</f>
        <v>13</v>
      </c>
      <c r="P149" s="0" t="n">
        <f aca="false">IF(OR($C$6="Any",K149="Any",K149=$C$6),10,0)</f>
        <v>10</v>
      </c>
      <c r="Q149" s="0" t="n">
        <f aca="false">IF($C$8="",4,IF(AND(ISNUMBER(G149),ISNUMBER(H149)),IF(AND($C$8&gt;=G149,$C$8&lt;=H149),7,0),4))</f>
        <v>4</v>
      </c>
      <c r="R149" s="0" t="n">
        <f aca="false">M149+N149+O149+P149+Q149+V149+Y149</f>
        <v>52</v>
      </c>
      <c r="S149" s="0" t="n">
        <f aca="false">IF(OR(M149=0,W149=0),-A149,R149*100+D149+F149*0.5-A149*0.001)</f>
        <v>-115</v>
      </c>
      <c r="T149" s="0" t="str">
        <f aca="false">Treatments!M117</f>
        <v>Added  </v>
      </c>
      <c r="U149" s="0" t="s">
        <v>22</v>
      </c>
      <c r="V149" s="0" t="n">
        <f aca="false">IF(OR($C$11="Any",U149="Any",U149=$C$11),8,0)</f>
        <v>8</v>
      </c>
      <c r="W149" s="0" t="n">
        <f aca="false">IF(LEFT(Treatments!AD117,3)="Yes",1,0)</f>
        <v>1</v>
      </c>
      <c r="X149" s="0" t="str">
        <f aca="false">Treatments!AE117</f>
        <v>All crashes</v>
      </c>
      <c r="Y149" s="0" t="n">
        <f aca="false">IF($C$12="Any",5,IF($C$12=X149,5,IF(AND($C$12="Fatal &amp; injury only",X149="All crashes"),3,0)))</f>
        <v>5</v>
      </c>
      <c r="Z149" s="0" t="str">
        <f aca="false">Treatments!AE117&amp;" / "&amp;Treatments!AF117</f>
        <v>All crashes / Only: Angle</v>
      </c>
      <c r="AA149" s="0" t="str">
        <f aca="false">IF(OR(Treatments!AH117="Overstates",Treatments!AH117="Check"),UPPER(Treatments!AH117)&amp;": "&amp;Treatments!AI117&amp;". ","")&amp;IF(Treatments!AG117="","",Treatments!AG117)</f>
        <v>OVERSTATES: Angle only; criteria is all crashes. No AADT range in the study.</v>
      </c>
    </row>
    <row r="150" customFormat="false" ht="12.75" hidden="true" customHeight="false" outlineLevel="0" collapsed="false">
      <c r="A150" s="0" t="n">
        <v>116</v>
      </c>
      <c r="B150" s="0" t="str">
        <f aca="false">Treatments!A118</f>
        <v>Provide Flashing Beacons At Stop Controlled Intersections</v>
      </c>
      <c r="C150" s="0" t="str">
        <f aca="false">Treatments!B118</f>
        <v>CM: Systemic Application of Multiple Low-Cost Countermeasures at Stop-Controlled Intersections</v>
      </c>
      <c r="D150" s="0" t="n">
        <f aca="false">Treatments!Q118</f>
        <v>58</v>
      </c>
      <c r="E150" s="0" t="n">
        <f aca="false">Treatments!P118</f>
        <v>0.42</v>
      </c>
      <c r="F150" s="0" t="n">
        <f aca="false">IF(ISNUMBER(Treatments!N118),Treatments!N118,0)</f>
        <v>4</v>
      </c>
      <c r="G150" s="0" t="n">
        <f aca="false">IF(ISNUMBER(Treatments!U118),Treatments!U118,"")</f>
        <v>250</v>
      </c>
      <c r="H150" s="0" t="n">
        <f aca="false">IF(ISNUMBER(Treatments!V118),Treatments!V118,"")</f>
        <v>42520</v>
      </c>
      <c r="I150" s="0" t="s">
        <v>72</v>
      </c>
      <c r="J150" s="0" t="s">
        <v>80</v>
      </c>
      <c r="K150" s="0" t="s">
        <v>102</v>
      </c>
      <c r="L150" s="0" t="s">
        <v>103</v>
      </c>
      <c r="M150" s="0" t="n">
        <f aca="false">IF(ISNUMBER(SEARCH("|"&amp;$C$7&amp;"|",L150)),45,IF(ISNUMBER(SEARCH("|All|",L150)),18,0))</f>
        <v>0</v>
      </c>
      <c r="N150" s="0" t="n">
        <f aca="false">IF(OR($C$4="Any",I150="All"),12,IF(ISNUMBER(SEARCH($C$4,I150)),12,0))</f>
        <v>12</v>
      </c>
      <c r="O150" s="0" t="n">
        <f aca="false">IF(OR($C$5="Any",J150="Any",J150=$C$5),13,0)</f>
        <v>13</v>
      </c>
      <c r="P150" s="0" t="n">
        <f aca="false">IF(OR($C$6="Any",K150="Any",K150=$C$6),10,0)</f>
        <v>10</v>
      </c>
      <c r="Q150" s="0" t="n">
        <f aca="false">IF($C$8="",4,IF(AND(ISNUMBER(G150),ISNUMBER(H150)),IF(AND($C$8&gt;=G150,$C$8&lt;=H150),7,0),4))</f>
        <v>4</v>
      </c>
      <c r="R150" s="0" t="n">
        <f aca="false">M150+N150+O150+P150+Q150+V150+Y150</f>
        <v>52</v>
      </c>
      <c r="S150" s="0" t="n">
        <f aca="false">IF(OR(M150=0,W150=0),-A150,R150*100+D150+F150*0.5-A150*0.001)</f>
        <v>-116</v>
      </c>
      <c r="T150" s="0" t="str">
        <f aca="false">Treatments!M118</f>
        <v>Added  </v>
      </c>
      <c r="U150" s="0" t="s">
        <v>22</v>
      </c>
      <c r="V150" s="0" t="n">
        <f aca="false">IF(OR($C$11="Any",U150="Any",U150=$C$11),8,0)</f>
        <v>8</v>
      </c>
      <c r="W150" s="0" t="n">
        <f aca="false">IF(LEFT(Treatments!AD118,3)="Yes",1,0)</f>
        <v>1</v>
      </c>
      <c r="X150" s="0" t="str">
        <f aca="false">Treatments!AE118</f>
        <v>All crashes</v>
      </c>
      <c r="Y150" s="0" t="n">
        <f aca="false">IF($C$12="Any",5,IF($C$12=X150,5,IF(AND($C$12="Fatal &amp; injury only",X150="All crashes"),3,0)))</f>
        <v>5</v>
      </c>
      <c r="Z150" s="0" t="str">
        <f aca="false">Treatments!AE118&amp;" / "&amp;Treatments!AF118</f>
        <v>All crashes / Only: Angle</v>
      </c>
      <c r="AA150" s="0" t="str">
        <f aca="false">IF(OR(Treatments!AH118="Overstates",Treatments!AH118="Check"),UPPER(Treatments!AH118)&amp;": "&amp;Treatments!AI118&amp;". ","")&amp;IF(Treatments!AG118="","",Treatments!AG118)</f>
        <v>OVERSTATES: Angle only; criteria is all crashes. AADT tested: 250-42,520.</v>
      </c>
    </row>
    <row r="151" customFormat="false" ht="12.75" hidden="true" customHeight="false" outlineLevel="0" collapsed="false">
      <c r="A151" s="0" t="n">
        <v>117</v>
      </c>
      <c r="B151" s="0" t="str">
        <f aca="false">Treatments!A119</f>
        <v>Implement Systemic Signing And Visibility Improvements At Signalized Intersections</v>
      </c>
      <c r="C151" s="0" t="str">
        <f aca="false">Treatments!B119</f>
        <v>CM: Systemic Application of Multiple Low-Cost Countermeasures at Stop-Controlled Intersections</v>
      </c>
      <c r="D151" s="0" t="n">
        <f aca="false">Treatments!Q119</f>
        <v>49.1</v>
      </c>
      <c r="E151" s="0" t="n">
        <f aca="false">Treatments!P119</f>
        <v>0.509</v>
      </c>
      <c r="F151" s="0" t="n">
        <f aca="false">IF(ISNUMBER(Treatments!N119),Treatments!N119,0)</f>
        <v>4</v>
      </c>
      <c r="G151" s="0" t="n">
        <f aca="false">IF(ISNUMBER(Treatments!U119),Treatments!U119,"")</f>
        <v>4272</v>
      </c>
      <c r="H151" s="0" t="n">
        <f aca="false">IF(ISNUMBER(Treatments!V119),Treatments!V119,"")</f>
        <v>41100</v>
      </c>
      <c r="I151" s="0" t="s">
        <v>72</v>
      </c>
      <c r="J151" s="0" t="s">
        <v>80</v>
      </c>
      <c r="K151" s="0" t="s">
        <v>102</v>
      </c>
      <c r="L151" s="0" t="s">
        <v>103</v>
      </c>
      <c r="M151" s="0" t="n">
        <f aca="false">IF(ISNUMBER(SEARCH("|"&amp;$C$7&amp;"|",L151)),45,IF(ISNUMBER(SEARCH("|All|",L151)),18,0))</f>
        <v>0</v>
      </c>
      <c r="N151" s="0" t="n">
        <f aca="false">IF(OR($C$4="Any",I151="All"),12,IF(ISNUMBER(SEARCH($C$4,I151)),12,0))</f>
        <v>12</v>
      </c>
      <c r="O151" s="0" t="n">
        <f aca="false">IF(OR($C$5="Any",J151="Any",J151=$C$5),13,0)</f>
        <v>13</v>
      </c>
      <c r="P151" s="0" t="n">
        <f aca="false">IF(OR($C$6="Any",K151="Any",K151=$C$6),10,0)</f>
        <v>10</v>
      </c>
      <c r="Q151" s="0" t="n">
        <f aca="false">IF($C$8="",4,IF(AND(ISNUMBER(G151),ISNUMBER(H151)),IF(AND($C$8&gt;=G151,$C$8&lt;=H151),7,0),4))</f>
        <v>4</v>
      </c>
      <c r="R151" s="0" t="n">
        <f aca="false">M151+N151+O151+P151+Q151+V151+Y151</f>
        <v>52</v>
      </c>
      <c r="S151" s="0" t="n">
        <f aca="false">IF(OR(M151=0,W151=0),-A151,R151*100+D151+F151*0.5-A151*0.001)</f>
        <v>-117</v>
      </c>
      <c r="T151" s="0" t="str">
        <f aca="false">Treatments!M119</f>
        <v>Added  </v>
      </c>
      <c r="U151" s="0" t="s">
        <v>22</v>
      </c>
      <c r="V151" s="0" t="n">
        <f aca="false">IF(OR($C$11="Any",U151="Any",U151=$C$11),8,0)</f>
        <v>8</v>
      </c>
      <c r="W151" s="0" t="n">
        <f aca="false">IF(LEFT(Treatments!AD119,3)="Yes",1,0)</f>
        <v>1</v>
      </c>
      <c r="X151" s="0" t="str">
        <f aca="false">Treatments!AE119</f>
        <v>All crashes</v>
      </c>
      <c r="Y151" s="0" t="n">
        <f aca="false">IF($C$12="Any",5,IF($C$12=X151,5,IF(AND($C$12="Fatal &amp; injury only",X151="All crashes"),3,0)))</f>
        <v>5</v>
      </c>
      <c r="Z151" s="0" t="str">
        <f aca="false">Treatments!AE119&amp;" / "&amp;Treatments!AF119</f>
        <v>All crashes / Only: Angle</v>
      </c>
      <c r="AA151" s="0" t="str">
        <f aca="false">IF(OR(Treatments!AH119="Overstates",Treatments!AH119="Check"),UPPER(Treatments!AH119)&amp;": "&amp;Treatments!AI119&amp;". ","")&amp;IF(Treatments!AG119="","",Treatments!AG119)</f>
        <v>CHECK: Signalized intersections; criteria is stop-controlled. AADT tested: 4,272-41,100.</v>
      </c>
    </row>
    <row r="152" customFormat="false" ht="12.75" hidden="true" customHeight="false" outlineLevel="0" collapsed="false">
      <c r="A152" s="0" t="n">
        <v>118</v>
      </c>
      <c r="B152" s="0" t="str">
        <f aca="false">Treatments!A120</f>
        <v>Implement Systemic Signing And Marking Improvements At Stop-Controlled Intersections</v>
      </c>
      <c r="C152" s="0" t="str">
        <f aca="false">Treatments!B120</f>
        <v>CM: Systemic Application of Multiple Low-Cost Countermeasures at Stop-Controlled Intersections</v>
      </c>
      <c r="D152" s="0" t="n">
        <f aca="false">Treatments!Q120</f>
        <v>28.2</v>
      </c>
      <c r="E152" s="0" t="n">
        <f aca="false">Treatments!P120</f>
        <v>0.718</v>
      </c>
      <c r="F152" s="0" t="n">
        <f aca="false">IF(ISNUMBER(Treatments!N120),Treatments!N120,0)</f>
        <v>4</v>
      </c>
      <c r="G152" s="0" t="n">
        <f aca="false">IF(ISNUMBER(Treatments!U120),Treatments!U120,"")</f>
        <v>641</v>
      </c>
      <c r="H152" s="0" t="n">
        <f aca="false">IF(ISNUMBER(Treatments!V120),Treatments!V120,"")</f>
        <v>41731</v>
      </c>
      <c r="I152" s="0" t="s">
        <v>73</v>
      </c>
      <c r="J152" s="0" t="s">
        <v>80</v>
      </c>
      <c r="K152" s="0" t="s">
        <v>102</v>
      </c>
      <c r="L152" s="0" t="s">
        <v>105</v>
      </c>
      <c r="M152" s="0" t="n">
        <f aca="false">IF(ISNUMBER(SEARCH("|"&amp;$C$7&amp;"|",L152)),45,IF(ISNUMBER(SEARCH("|All|",L152)),18,0))</f>
        <v>0</v>
      </c>
      <c r="N152" s="0" t="n">
        <f aca="false">IF(OR($C$4="Any",I152="All"),12,IF(ISNUMBER(SEARCH($C$4,I152)),12,0))</f>
        <v>12</v>
      </c>
      <c r="O152" s="0" t="n">
        <f aca="false">IF(OR($C$5="Any",J152="Any",J152=$C$5),13,0)</f>
        <v>13</v>
      </c>
      <c r="P152" s="0" t="n">
        <f aca="false">IF(OR($C$6="Any",K152="Any",K152=$C$6),10,0)</f>
        <v>10</v>
      </c>
      <c r="Q152" s="0" t="n">
        <f aca="false">IF($C$8="",4,IF(AND(ISNUMBER(G152),ISNUMBER(H152)),IF(AND($C$8&gt;=G152,$C$8&lt;=H152),7,0),4))</f>
        <v>4</v>
      </c>
      <c r="R152" s="0" t="n">
        <f aca="false">M152+N152+O152+P152+Q152+V152+Y152</f>
        <v>52</v>
      </c>
      <c r="S152" s="0" t="n">
        <f aca="false">IF(OR(M152=0,W152=0),-A152,R152*100+D152+F152*0.5-A152*0.001)</f>
        <v>-118</v>
      </c>
      <c r="T152" s="0" t="str">
        <f aca="false">Treatments!M120</f>
        <v>Added  </v>
      </c>
      <c r="U152" s="0" t="s">
        <v>22</v>
      </c>
      <c r="V152" s="0" t="n">
        <f aca="false">IF(OR($C$11="Any",U152="Any",U152=$C$11),8,0)</f>
        <v>8</v>
      </c>
      <c r="W152" s="0" t="n">
        <f aca="false">IF(LEFT(Treatments!AD120,3)="Yes",1,0)</f>
        <v>1</v>
      </c>
      <c r="X152" s="0" t="str">
        <f aca="false">Treatments!AE120</f>
        <v>All crashes</v>
      </c>
      <c r="Y152" s="0" t="n">
        <f aca="false">IF($C$12="Any",5,IF($C$12=X152,5,IF(AND($C$12="Fatal &amp; injury only",X152="All crashes"),3,0)))</f>
        <v>5</v>
      </c>
      <c r="Z152" s="0" t="str">
        <f aca="false">Treatments!AE120&amp;" / "&amp;Treatments!AF120</f>
        <v>All crashes / Only: Nighttime</v>
      </c>
      <c r="AA152" s="0" t="str">
        <f aca="false">IF(OR(Treatments!AH120="Overstates",Treatments!AH120="Check"),UPPER(Treatments!AH120)&amp;": "&amp;Treatments!AI120&amp;". ","")&amp;IF(Treatments!AG120="","",Treatments!AG120)</f>
        <v>OVERSTATES: Night crashes only. AADT tested: 641-41,731.</v>
      </c>
    </row>
    <row r="153" customFormat="false" ht="12.75" hidden="true" customHeight="false" outlineLevel="0" collapsed="false">
      <c r="A153" s="0" t="n">
        <v>119</v>
      </c>
      <c r="B153" s="0" t="str">
        <f aca="false">Treatments!A121</f>
        <v>Modify Change Plus Clearance Interval To Ite 1985 Proposed Recommended Practice</v>
      </c>
      <c r="C153" s="0" t="str">
        <f aca="false">Treatments!B121</f>
        <v>CM: Yellow Change Intervals</v>
      </c>
      <c r="D153" s="0" t="n">
        <f aca="false">Treatments!Q121</f>
        <v>8</v>
      </c>
      <c r="E153" s="0" t="n">
        <f aca="false">Treatments!P121</f>
        <v>0.92</v>
      </c>
      <c r="F153" s="0" t="n">
        <f aca="false">IF(ISNUMBER(Treatments!N121),Treatments!N121,0)</f>
        <v>2</v>
      </c>
      <c r="G153" s="0" t="str">
        <f aca="false">IF(ISNUMBER(Treatments!U121),Treatments!U121,"")</f>
        <v/>
      </c>
      <c r="H153" s="0" t="str">
        <f aca="false">IF(ISNUMBER(Treatments!V121),Treatments!V121,"")</f>
        <v/>
      </c>
      <c r="I153" s="0" t="s">
        <v>72</v>
      </c>
      <c r="J153" s="0" t="s">
        <v>80</v>
      </c>
      <c r="K153" s="0" t="s">
        <v>81</v>
      </c>
      <c r="L153" s="0" t="s">
        <v>93</v>
      </c>
      <c r="M153" s="0" t="n">
        <f aca="false">IF(ISNUMBER(SEARCH("|"&amp;$C$7&amp;"|",L153)),45,IF(ISNUMBER(SEARCH("|All|",L153)),18,0))</f>
        <v>18</v>
      </c>
      <c r="N153" s="0" t="n">
        <f aca="false">IF(OR($C$4="Any",I153="All"),12,IF(ISNUMBER(SEARCH($C$4,I153)),12,0))</f>
        <v>12</v>
      </c>
      <c r="O153" s="0" t="n">
        <f aca="false">IF(OR($C$5="Any",J153="Any",J153=$C$5),13,0)</f>
        <v>13</v>
      </c>
      <c r="P153" s="0" t="n">
        <f aca="false">IF(OR($C$6="Any",K153="Any",K153=$C$6),10,0)</f>
        <v>10</v>
      </c>
      <c r="Q153" s="0" t="n">
        <f aca="false">IF($C$8="",4,IF(AND(ISNUMBER(G153),ISNUMBER(H153)),IF(AND($C$8&gt;=G153,$C$8&lt;=H153),7,0),4))</f>
        <v>4</v>
      </c>
      <c r="R153" s="0" t="n">
        <f aca="false">M153+N153+O153+P153+Q153+V153+Y153</f>
        <v>70</v>
      </c>
      <c r="S153" s="0" t="n">
        <f aca="false">IF(OR(M153=0,W153=0),-A153,R153*100+D153+F153*0.5-A153*0.001)</f>
        <v>7008.881</v>
      </c>
      <c r="T153" s="0" t="str">
        <f aca="false">Treatments!M121</f>
        <v>Original </v>
      </c>
      <c r="U153" s="0" t="s">
        <v>22</v>
      </c>
      <c r="V153" s="0" t="n">
        <f aca="false">IF(OR($C$11="Any",U153="Any",U153=$C$11),8,0)</f>
        <v>8</v>
      </c>
      <c r="W153" s="0" t="n">
        <f aca="false">IF(LEFT(Treatments!AD121,3)="Yes",1,0)</f>
        <v>1</v>
      </c>
      <c r="X153" s="0" t="str">
        <f aca="false">Treatments!AE121</f>
        <v>All crashes</v>
      </c>
      <c r="Y153" s="0" t="n">
        <f aca="false">IF($C$12="Any",5,IF($C$12=X153,5,IF(AND($C$12="Fatal &amp; injury only",X153="All crashes"),3,0)))</f>
        <v>5</v>
      </c>
      <c r="Z153" s="0" t="str">
        <f aca="false">Treatments!AE121&amp;" / "&amp;Treatments!AF121</f>
        <v>All crashes / All crash types</v>
      </c>
      <c r="AA153" s="0" t="str">
        <f aca="false">IF(OR(Treatments!AH121="Overstates",Treatments!AH121="Check"),UPPER(Treatments!AH121)&amp;": "&amp;Treatments!AI121&amp;". ","")&amp;IF(Treatments!AG121="","",Treatments!AG121)</f>
        <v>No AADT range in the study.</v>
      </c>
    </row>
    <row r="154" customFormat="false" ht="12.75" hidden="true" customHeight="false" outlineLevel="0" collapsed="false">
      <c r="A154" s="0" t="n">
        <v>120</v>
      </c>
      <c r="B154" s="0" t="str">
        <f aca="false">Treatments!A122</f>
        <v>Increase All Red Clearance Interval</v>
      </c>
      <c r="C154" s="0" t="str">
        <f aca="false">Treatments!B122</f>
        <v>CM: Yellow Change Intervals</v>
      </c>
      <c r="D154" s="0" t="n">
        <f aca="false">Treatments!Q122</f>
        <v>20.2</v>
      </c>
      <c r="E154" s="0" t="n">
        <f aca="false">Treatments!P122</f>
        <v>0.798</v>
      </c>
      <c r="F154" s="0" t="n">
        <f aca="false">IF(ISNUMBER(Treatments!N122),Treatments!N122,0)</f>
        <v>4</v>
      </c>
      <c r="G154" s="0" t="n">
        <f aca="false">IF(ISNUMBER(Treatments!U122),Treatments!U122,"")</f>
        <v>5950</v>
      </c>
      <c r="H154" s="0" t="n">
        <f aca="false">IF(ISNUMBER(Treatments!V122),Treatments!V122,"")</f>
        <v>31600</v>
      </c>
      <c r="I154" s="0" t="s">
        <v>67</v>
      </c>
      <c r="J154" s="0" t="s">
        <v>80</v>
      </c>
      <c r="K154" s="0" t="s">
        <v>81</v>
      </c>
      <c r="L154" s="0" t="s">
        <v>93</v>
      </c>
      <c r="M154" s="0" t="n">
        <f aca="false">IF(ISNUMBER(SEARCH("|"&amp;$C$7&amp;"|",L154)),45,IF(ISNUMBER(SEARCH("|All|",L154)),18,0))</f>
        <v>18</v>
      </c>
      <c r="N154" s="0" t="n">
        <f aca="false">IF(OR($C$4="Any",I154="All"),12,IF(ISNUMBER(SEARCH($C$4,I154)),12,0))</f>
        <v>12</v>
      </c>
      <c r="O154" s="0" t="n">
        <f aca="false">IF(OR($C$5="Any",J154="Any",J154=$C$5),13,0)</f>
        <v>13</v>
      </c>
      <c r="P154" s="0" t="n">
        <f aca="false">IF(OR($C$6="Any",K154="Any",K154=$C$6),10,0)</f>
        <v>10</v>
      </c>
      <c r="Q154" s="0" t="n">
        <f aca="false">IF($C$8="",4,IF(AND(ISNUMBER(G154),ISNUMBER(H154)),IF(AND($C$8&gt;=G154,$C$8&lt;=H154),7,0),4))</f>
        <v>4</v>
      </c>
      <c r="R154" s="0" t="n">
        <f aca="false">M154+N154+O154+P154+Q154+V154+Y154</f>
        <v>70</v>
      </c>
      <c r="S154" s="0" t="n">
        <f aca="false">IF(OR(M154=0,W154=0),-A154,R154*100+D154+F154*0.5-A154*0.001)</f>
        <v>7022.08</v>
      </c>
      <c r="T154" s="0" t="str">
        <f aca="false">Treatments!M122</f>
        <v>Added  </v>
      </c>
      <c r="U154" s="0" t="s">
        <v>22</v>
      </c>
      <c r="V154" s="0" t="n">
        <f aca="false">IF(OR($C$11="Any",U154="Any",U154=$C$11),8,0)</f>
        <v>8</v>
      </c>
      <c r="W154" s="0" t="n">
        <f aca="false">IF(LEFT(Treatments!AD122,3)="Yes",1,0)</f>
        <v>1</v>
      </c>
      <c r="X154" s="0" t="str">
        <f aca="false">Treatments!AE122</f>
        <v>All crashes</v>
      </c>
      <c r="Y154" s="0" t="n">
        <f aca="false">IF($C$12="Any",5,IF($C$12=X154,5,IF(AND($C$12="Fatal &amp; injury only",X154="All crashes"),3,0)))</f>
        <v>5</v>
      </c>
      <c r="Z154" s="0" t="str">
        <f aca="false">Treatments!AE122&amp;" / "&amp;Treatments!AF122</f>
        <v>All crashes / All crash types</v>
      </c>
      <c r="AA154" s="0" t="str">
        <f aca="false">IF(OR(Treatments!AH122="Overstates",Treatments!AH122="Check"),UPPER(Treatments!AH122)&amp;": "&amp;Treatments!AI122&amp;". ","")&amp;IF(Treatments!AG122="","",Treatments!AG122)</f>
        <v>AADT tested: 5,950-31,600.</v>
      </c>
    </row>
    <row r="155" customFormat="false" ht="12.75" hidden="true" customHeight="false" outlineLevel="0" collapsed="false">
      <c r="A155" s="0" t="n">
        <v>121</v>
      </c>
      <c r="B155" s="0" t="str">
        <f aca="false">Treatments!A123</f>
        <v>Provide Intersection Illumination</v>
      </c>
      <c r="C155" s="0" t="str">
        <f aca="false">Treatments!B123</f>
        <v>CM: Lighting</v>
      </c>
      <c r="D155" s="0" t="n">
        <f aca="false">Treatments!Q123</f>
        <v>42</v>
      </c>
      <c r="E155" s="0" t="n">
        <f aca="false">Treatments!P123</f>
        <v>0.58</v>
      </c>
      <c r="F155" s="0" t="n">
        <f aca="false">IF(ISNUMBER(Treatments!N123),Treatments!N123,0)</f>
        <v>3</v>
      </c>
      <c r="G155" s="0" t="str">
        <f aca="false">IF(ISNUMBER(Treatments!U123),Treatments!U123,"")</f>
        <v/>
      </c>
      <c r="H155" s="0" t="str">
        <f aca="false">IF(ISNUMBER(Treatments!V123),Treatments!V123,"")</f>
        <v/>
      </c>
      <c r="I155" s="0" t="s">
        <v>72</v>
      </c>
      <c r="J155" s="0" t="s">
        <v>22</v>
      </c>
      <c r="K155" s="0" t="s">
        <v>22</v>
      </c>
      <c r="L155" s="0" t="s">
        <v>106</v>
      </c>
      <c r="M155" s="0" t="n">
        <f aca="false">IF(ISNUMBER(SEARCH("|"&amp;$C$7&amp;"|",L155)),45,IF(ISNUMBER(SEARCH("|All|",L155)),18,0))</f>
        <v>0</v>
      </c>
      <c r="N155" s="0" t="n">
        <f aca="false">IF(OR($C$4="Any",I155="All"),12,IF(ISNUMBER(SEARCH($C$4,I155)),12,0))</f>
        <v>12</v>
      </c>
      <c r="O155" s="0" t="n">
        <f aca="false">IF(OR($C$5="Any",J155="Any",J155=$C$5),13,0)</f>
        <v>13</v>
      </c>
      <c r="P155" s="0" t="n">
        <f aca="false">IF(OR($C$6="Any",K155="Any",K155=$C$6),10,0)</f>
        <v>10</v>
      </c>
      <c r="Q155" s="0" t="n">
        <f aca="false">IF($C$8="",4,IF(AND(ISNUMBER(G155),ISNUMBER(H155)),IF(AND($C$8&gt;=G155,$C$8&lt;=H155),7,0),4))</f>
        <v>4</v>
      </c>
      <c r="R155" s="0" t="n">
        <f aca="false">M155+N155+O155+P155+Q155+V155+Y155</f>
        <v>52</v>
      </c>
      <c r="S155" s="0" t="n">
        <f aca="false">IF(OR(M155=0,W155=0),-A155,R155*100+D155+F155*0.5-A155*0.001)</f>
        <v>-121</v>
      </c>
      <c r="T155" s="0" t="str">
        <f aca="false">Treatments!M123</f>
        <v>Original </v>
      </c>
      <c r="U155" s="0" t="s">
        <v>22</v>
      </c>
      <c r="V155" s="0" t="n">
        <f aca="false">IF(OR($C$11="Any",U155="Any",U155=$C$11),8,0)</f>
        <v>8</v>
      </c>
      <c r="W155" s="0" t="n">
        <f aca="false">IF(LEFT(Treatments!AD123,3)="Yes",1,0)</f>
        <v>1</v>
      </c>
      <c r="X155" s="0" t="str">
        <f aca="false">Treatments!AE123</f>
        <v>Fatal &amp; injury only</v>
      </c>
      <c r="Y155" s="0" t="n">
        <f aca="false">IF($C$12="Any",5,IF($C$12=X155,5,IF(AND($C$12="Fatal &amp; injury only",X155="All crashes"),3,0)))</f>
        <v>5</v>
      </c>
      <c r="Z155" s="0" t="str">
        <f aca="false">Treatments!AE123&amp;" / "&amp;Treatments!AF123</f>
        <v>Fatal &amp; injury only / Only: Nighttime,Vehicle/pedestrian</v>
      </c>
      <c r="AA155" s="0" t="str">
        <f aca="false">IF(OR(Treatments!AH123="Overstates",Treatments!AH123="Check"),UPPER(Treatments!AH123)&amp;": "&amp;Treatments!AI123&amp;". ","")&amp;IF(Treatments!AG123="","",Treatments!AG123)</f>
        <v>OVERSTATES: Night pedestrian crashes only. No AADT range in the study.</v>
      </c>
    </row>
    <row r="156" customFormat="false" ht="12.75" hidden="true" customHeight="false" outlineLevel="0" collapsed="false">
      <c r="A156" s="0" t="n">
        <v>122</v>
      </c>
      <c r="B156" s="0" t="str">
        <f aca="false">Treatments!A124</f>
        <v>Provide Highway Lighting</v>
      </c>
      <c r="C156" s="0" t="str">
        <f aca="false">Treatments!B124</f>
        <v>CM: Lighting</v>
      </c>
      <c r="D156" s="0" t="n">
        <f aca="false">Treatments!Q124</f>
        <v>28</v>
      </c>
      <c r="E156" s="0" t="n">
        <f aca="false">Treatments!P124</f>
        <v>0.72</v>
      </c>
      <c r="F156" s="0" t="n">
        <f aca="false">IF(ISNUMBER(Treatments!N124),Treatments!N124,0)</f>
        <v>3</v>
      </c>
      <c r="G156" s="0" t="str">
        <f aca="false">IF(ISNUMBER(Treatments!U124),Treatments!U124,"")</f>
        <v/>
      </c>
      <c r="H156" s="0" t="str">
        <f aca="false">IF(ISNUMBER(Treatments!V124),Treatments!V124,"")</f>
        <v/>
      </c>
      <c r="I156" s="0" t="s">
        <v>72</v>
      </c>
      <c r="J156" s="0" t="s">
        <v>22</v>
      </c>
      <c r="K156" s="0" t="s">
        <v>22</v>
      </c>
      <c r="L156" s="0" t="s">
        <v>107</v>
      </c>
      <c r="M156" s="0" t="n">
        <f aca="false">IF(ISNUMBER(SEARCH("|"&amp;$C$7&amp;"|",L156)),45,IF(ISNUMBER(SEARCH("|All|",L156)),18,0))</f>
        <v>0</v>
      </c>
      <c r="N156" s="0" t="n">
        <f aca="false">IF(OR($C$4="Any",I156="All"),12,IF(ISNUMBER(SEARCH($C$4,I156)),12,0))</f>
        <v>12</v>
      </c>
      <c r="O156" s="0" t="n">
        <f aca="false">IF(OR($C$5="Any",J156="Any",J156=$C$5),13,0)</f>
        <v>13</v>
      </c>
      <c r="P156" s="0" t="n">
        <f aca="false">IF(OR($C$6="Any",K156="Any",K156=$C$6),10,0)</f>
        <v>10</v>
      </c>
      <c r="Q156" s="0" t="n">
        <f aca="false">IF($C$8="",4,IF(AND(ISNUMBER(G156),ISNUMBER(H156)),IF(AND($C$8&gt;=G156,$C$8&lt;=H156),7,0),4))</f>
        <v>4</v>
      </c>
      <c r="R156" s="0" t="n">
        <f aca="false">M156+N156+O156+P156+Q156+V156+Y156</f>
        <v>52</v>
      </c>
      <c r="S156" s="0" t="n">
        <f aca="false">IF(OR(M156=0,W156=0),-A156,R156*100+D156+F156*0.5-A156*0.001)</f>
        <v>-122</v>
      </c>
      <c r="T156" s="0" t="str">
        <f aca="false">Treatments!M124</f>
        <v>Original </v>
      </c>
      <c r="U156" s="0" t="s">
        <v>22</v>
      </c>
      <c r="V156" s="0" t="n">
        <f aca="false">IF(OR($C$11="Any",U156="Any",U156=$C$11),8,0)</f>
        <v>8</v>
      </c>
      <c r="W156" s="0" t="n">
        <f aca="false">IF(LEFT(Treatments!AD124,3)="Yes",1,0)</f>
        <v>1</v>
      </c>
      <c r="X156" s="0" t="str">
        <f aca="false">Treatments!AE124</f>
        <v>Fatal &amp; injury only</v>
      </c>
      <c r="Y156" s="0" t="n">
        <f aca="false">IF($C$12="Any",5,IF($C$12=X156,5,IF(AND($C$12="Fatal &amp; injury only",X156="All crashes"),3,0)))</f>
        <v>5</v>
      </c>
      <c r="Z156" s="0" t="str">
        <f aca="false">Treatments!AE124&amp;" / "&amp;Treatments!AF124</f>
        <v>Fatal &amp; injury only / Only: Nighttime</v>
      </c>
      <c r="AA156" s="0" t="str">
        <f aca="false">IF(OR(Treatments!AH124="Overstates",Treatments!AH124="Check"),UPPER(Treatments!AH124)&amp;": "&amp;Treatments!AI124&amp;". ","")&amp;IF(Treatments!AG124="","",Treatments!AG124)</f>
        <v>No AADT range in the study.</v>
      </c>
    </row>
    <row r="157" customFormat="false" ht="12.75" hidden="true" customHeight="false" outlineLevel="0" collapsed="false">
      <c r="A157" s="0" t="n">
        <v>123</v>
      </c>
      <c r="B157" s="0" t="str">
        <f aca="false">Treatments!A125</f>
        <v>Improve Street Lighting Illuminance And Uniformity</v>
      </c>
      <c r="C157" s="0" t="str">
        <f aca="false">Treatments!B125</f>
        <v>CM: Lighting</v>
      </c>
      <c r="D157" s="0" t="n">
        <f aca="false">Treatments!Q125</f>
        <v>41.9</v>
      </c>
      <c r="E157" s="0" t="n">
        <f aca="false">Treatments!P125</f>
        <v>0.581</v>
      </c>
      <c r="F157" s="0" t="n">
        <f aca="false">IF(ISNUMBER(Treatments!N125),Treatments!N125,0)</f>
        <v>4</v>
      </c>
      <c r="G157" s="0" t="str">
        <f aca="false">IF(ISNUMBER(Treatments!U125),Treatments!U125,"")</f>
        <v/>
      </c>
      <c r="H157" s="0" t="str">
        <f aca="false">IF(ISNUMBER(Treatments!V125),Treatments!V125,"")</f>
        <v/>
      </c>
      <c r="I157" s="0" t="s">
        <v>77</v>
      </c>
      <c r="J157" s="0" t="s">
        <v>22</v>
      </c>
      <c r="K157" s="0" t="s">
        <v>22</v>
      </c>
      <c r="L157" s="0" t="s">
        <v>108</v>
      </c>
      <c r="M157" s="0" t="n">
        <f aca="false">IF(ISNUMBER(SEARCH("|"&amp;$C$7&amp;"|",L157)),45,IF(ISNUMBER(SEARCH("|All|",L157)),18,0))</f>
        <v>18</v>
      </c>
      <c r="N157" s="0" t="n">
        <f aca="false">IF(OR($C$4="Any",I157="All"),12,IF(ISNUMBER(SEARCH($C$4,I157)),12,0))</f>
        <v>12</v>
      </c>
      <c r="O157" s="0" t="n">
        <f aca="false">IF(OR($C$5="Any",J157="Any",J157=$C$5),13,0)</f>
        <v>13</v>
      </c>
      <c r="P157" s="0" t="n">
        <f aca="false">IF(OR($C$6="Any",K157="Any",K157=$C$6),10,0)</f>
        <v>10</v>
      </c>
      <c r="Q157" s="0" t="n">
        <f aca="false">IF($C$8="",4,IF(AND(ISNUMBER(G157),ISNUMBER(H157)),IF(AND($C$8&gt;=G157,$C$8&lt;=H157),7,0),4))</f>
        <v>4</v>
      </c>
      <c r="R157" s="0" t="n">
        <f aca="false">M157+N157+O157+P157+Q157+V157+Y157</f>
        <v>70</v>
      </c>
      <c r="S157" s="0" t="n">
        <f aca="false">IF(OR(M157=0,W157=0),-A157,R157*100+D157+F157*0.5-A157*0.001)</f>
        <v>7043.777</v>
      </c>
      <c r="T157" s="0" t="str">
        <f aca="false">Treatments!M125</f>
        <v>Added  </v>
      </c>
      <c r="U157" s="0" t="s">
        <v>22</v>
      </c>
      <c r="V157" s="0" t="n">
        <f aca="false">IF(OR($C$11="Any",U157="Any",U157=$C$11),8,0)</f>
        <v>8</v>
      </c>
      <c r="W157" s="0" t="n">
        <f aca="false">IF(LEFT(Treatments!AD125,3)="Yes",1,0)</f>
        <v>1</v>
      </c>
      <c r="X157" s="0" t="str">
        <f aca="false">Treatments!AE125</f>
        <v>All crashes</v>
      </c>
      <c r="Y157" s="0" t="n">
        <f aca="false">IF($C$12="Any",5,IF($C$12=X157,5,IF(AND($C$12="Fatal &amp; injury only",X157="All crashes"),3,0)))</f>
        <v>5</v>
      </c>
      <c r="Z157" s="0" t="str">
        <f aca="false">Treatments!AE125&amp;" / "&amp;Treatments!AF125</f>
        <v>All crashes / All crash types</v>
      </c>
      <c r="AA157" s="0" t="str">
        <f aca="false">IF(OR(Treatments!AH125="Overstates",Treatments!AH125="Check"),UPPER(Treatments!AH125)&amp;": "&amp;Treatments!AI125&amp;". ","")&amp;IF(Treatments!AG125="","",Treatments!AG125)</f>
        <v>No AADT range in the study.</v>
      </c>
    </row>
    <row r="158" customFormat="false" ht="12.75" hidden="true" customHeight="false" outlineLevel="0" collapsed="false">
      <c r="A158" s="0" t="n">
        <v>124</v>
      </c>
      <c r="B158" s="0" t="str">
        <f aca="false">Treatments!A126</f>
        <v>Install Lighting</v>
      </c>
      <c r="C158" s="0" t="str">
        <f aca="false">Treatments!B126</f>
        <v>CM: Lighting</v>
      </c>
      <c r="D158" s="0" t="n">
        <f aca="false">Treatments!Q126</f>
        <v>38</v>
      </c>
      <c r="E158" s="0" t="n">
        <f aca="false">Treatments!P126</f>
        <v>0.62</v>
      </c>
      <c r="F158" s="0" t="n">
        <f aca="false">IF(ISNUMBER(Treatments!N126),Treatments!N126,0)</f>
        <v>4</v>
      </c>
      <c r="G158" s="0" t="str">
        <f aca="false">IF(ISNUMBER(Treatments!U126),Treatments!U126,"")</f>
        <v/>
      </c>
      <c r="H158" s="0" t="str">
        <f aca="false">IF(ISNUMBER(Treatments!V126),Treatments!V126,"")</f>
        <v/>
      </c>
      <c r="I158" s="0" t="s">
        <v>67</v>
      </c>
      <c r="J158" s="0" t="s">
        <v>22</v>
      </c>
      <c r="K158" s="0" t="s">
        <v>22</v>
      </c>
      <c r="L158" s="0" t="s">
        <v>109</v>
      </c>
      <c r="M158" s="0" t="n">
        <f aca="false">IF(ISNUMBER(SEARCH("|"&amp;$C$7&amp;"|",L158)),45,IF(ISNUMBER(SEARCH("|All|",L158)),18,0))</f>
        <v>0</v>
      </c>
      <c r="N158" s="0" t="n">
        <f aca="false">IF(OR($C$4="Any",I158="All"),12,IF(ISNUMBER(SEARCH($C$4,I158)),12,0))</f>
        <v>12</v>
      </c>
      <c r="O158" s="0" t="n">
        <f aca="false">IF(OR($C$5="Any",J158="Any",J158=$C$5),13,0)</f>
        <v>13</v>
      </c>
      <c r="P158" s="0" t="n">
        <f aca="false">IF(OR($C$6="Any",K158="Any",K158=$C$6),10,0)</f>
        <v>10</v>
      </c>
      <c r="Q158" s="0" t="n">
        <f aca="false">IF($C$8="",4,IF(AND(ISNUMBER(G158),ISNUMBER(H158)),IF(AND($C$8&gt;=G158,$C$8&lt;=H158),7,0),4))</f>
        <v>4</v>
      </c>
      <c r="R158" s="0" t="n">
        <f aca="false">M158+N158+O158+P158+Q158+V158+Y158</f>
        <v>52</v>
      </c>
      <c r="S158" s="0" t="n">
        <f aca="false">IF(OR(M158=0,W158=0),-A158,R158*100+D158+F158*0.5-A158*0.001)</f>
        <v>-124</v>
      </c>
      <c r="T158" s="0" t="str">
        <f aca="false">Treatments!M126</f>
        <v>Added  </v>
      </c>
      <c r="U158" s="0" t="s">
        <v>71</v>
      </c>
      <c r="V158" s="0" t="n">
        <f aca="false">IF(OR($C$11="Any",U158="Any",U158=$C$11),8,0)</f>
        <v>8</v>
      </c>
      <c r="W158" s="0" t="n">
        <f aca="false">IF(LEFT(Treatments!AD126,3)="Yes",1,0)</f>
        <v>1</v>
      </c>
      <c r="X158" s="0" t="str">
        <f aca="false">Treatments!AE126</f>
        <v>All crashes</v>
      </c>
      <c r="Y158" s="0" t="n">
        <f aca="false">IF($C$12="Any",5,IF($C$12=X158,5,IF(AND($C$12="Fatal &amp; injury only",X158="All crashes"),3,0)))</f>
        <v>5</v>
      </c>
      <c r="Z158" s="0" t="str">
        <f aca="false">Treatments!AE126&amp;" / "&amp;Treatments!AF126</f>
        <v>All crashes / Only: Rear end</v>
      </c>
      <c r="AA158" s="0" t="str">
        <f aca="false">IF(OR(Treatments!AH126="Overstates",Treatments!AH126="Check"),UPPER(Treatments!AH126)&amp;": "&amp;Treatments!AI126&amp;". ","")&amp;IF(Treatments!AG126="","",Treatments!AG126)</f>
        <v>CHECK: Rear-end only; criteria excludes rear-end. No AADT range in the study.</v>
      </c>
    </row>
    <row r="159" customFormat="false" ht="12.75" hidden="true" customHeight="false" outlineLevel="0" collapsed="false">
      <c r="A159" s="0" t="n">
        <v>125</v>
      </c>
      <c r="B159" s="0" t="str">
        <f aca="false">Treatments!A127</f>
        <v>Provide Intersection Illumination</v>
      </c>
      <c r="C159" s="0" t="str">
        <f aca="false">Treatments!B127</f>
        <v>CM: Lighting</v>
      </c>
      <c r="D159" s="0" t="n">
        <f aca="false">Treatments!Q127</f>
        <v>33</v>
      </c>
      <c r="E159" s="0" t="n">
        <f aca="false">Treatments!P127</f>
        <v>0.67</v>
      </c>
      <c r="F159" s="0" t="n">
        <f aca="false">IF(ISNUMBER(Treatments!N127),Treatments!N127,0)</f>
        <v>4</v>
      </c>
      <c r="G159" s="0" t="n">
        <f aca="false">IF(ISNUMBER(Treatments!U127),Treatments!U127,"")</f>
        <v>420</v>
      </c>
      <c r="H159" s="0" t="n">
        <f aca="false">IF(ISNUMBER(Treatments!V127),Treatments!V127,"")</f>
        <v>15200</v>
      </c>
      <c r="I159" s="0" t="s">
        <v>73</v>
      </c>
      <c r="J159" s="0" t="s">
        <v>22</v>
      </c>
      <c r="K159" s="0" t="s">
        <v>22</v>
      </c>
      <c r="L159" s="0" t="s">
        <v>105</v>
      </c>
      <c r="M159" s="0" t="n">
        <f aca="false">IF(ISNUMBER(SEARCH("|"&amp;$C$7&amp;"|",L159)),45,IF(ISNUMBER(SEARCH("|All|",L159)),18,0))</f>
        <v>0</v>
      </c>
      <c r="N159" s="0" t="n">
        <f aca="false">IF(OR($C$4="Any",I159="All"),12,IF(ISNUMBER(SEARCH($C$4,I159)),12,0))</f>
        <v>12</v>
      </c>
      <c r="O159" s="0" t="n">
        <f aca="false">IF(OR($C$5="Any",J159="Any",J159=$C$5),13,0)</f>
        <v>13</v>
      </c>
      <c r="P159" s="0" t="n">
        <f aca="false">IF(OR($C$6="Any",K159="Any",K159=$C$6),10,0)</f>
        <v>10</v>
      </c>
      <c r="Q159" s="0" t="n">
        <f aca="false">IF($C$8="",4,IF(AND(ISNUMBER(G159),ISNUMBER(H159)),IF(AND($C$8&gt;=G159,$C$8&lt;=H159),7,0),4))</f>
        <v>4</v>
      </c>
      <c r="R159" s="0" t="n">
        <f aca="false">M159+N159+O159+P159+Q159+V159+Y159</f>
        <v>52</v>
      </c>
      <c r="S159" s="0" t="n">
        <f aca="false">IF(OR(M159=0,W159=0),-A159,R159*100+D159+F159*0.5-A159*0.001)</f>
        <v>-125</v>
      </c>
      <c r="T159" s="0" t="str">
        <f aca="false">Treatments!M127</f>
        <v>Added  </v>
      </c>
      <c r="U159" s="0" t="s">
        <v>22</v>
      </c>
      <c r="V159" s="0" t="n">
        <f aca="false">IF(OR($C$11="Any",U159="Any",U159=$C$11),8,0)</f>
        <v>8</v>
      </c>
      <c r="W159" s="0" t="n">
        <f aca="false">IF(LEFT(Treatments!AD127,3)="Yes",1,0)</f>
        <v>1</v>
      </c>
      <c r="X159" s="0" t="str">
        <f aca="false">Treatments!AE127</f>
        <v>All crashes</v>
      </c>
      <c r="Y159" s="0" t="n">
        <f aca="false">IF($C$12="Any",5,IF($C$12=X159,5,IF(AND($C$12="Fatal &amp; injury only",X159="All crashes"),3,0)))</f>
        <v>5</v>
      </c>
      <c r="Z159" s="0" t="str">
        <f aca="false">Treatments!AE127&amp;" / "&amp;Treatments!AF127</f>
        <v>All crashes / Only: Angle</v>
      </c>
      <c r="AA159" s="0" t="str">
        <f aca="false">IF(OR(Treatments!AH127="Overstates",Treatments!AH127="Check"),UPPER(Treatments!AH127)&amp;": "&amp;Treatments!AI127&amp;". ","")&amp;IF(Treatments!AG127="","",Treatments!AG127)</f>
        <v>OVERSTATES: Rural intersection angle crashes only. AADT tested: 420-15,200.</v>
      </c>
    </row>
    <row r="160" customFormat="false" ht="12.75" hidden="true" customHeight="false" outlineLevel="0" collapsed="false">
      <c r="A160" s="0" t="n">
        <v>126</v>
      </c>
      <c r="B160" s="0" t="str">
        <f aca="false">Treatments!A128</f>
        <v>Install High Friction Surface Treatment (Hfst)</v>
      </c>
      <c r="C160" s="0" t="str">
        <f aca="false">Treatments!B128</f>
        <v>CM: Pavement Friction Management</v>
      </c>
      <c r="D160" s="0" t="n">
        <f aca="false">Treatments!Q128</f>
        <v>63.5</v>
      </c>
      <c r="E160" s="0" t="n">
        <f aca="false">Treatments!P128</f>
        <v>0.365</v>
      </c>
      <c r="F160" s="0" t="n">
        <f aca="false">IF(ISNUMBER(Treatments!N128),Treatments!N128,0)</f>
        <v>4</v>
      </c>
      <c r="G160" s="0" t="str">
        <f aca="false">IF(ISNUMBER(Treatments!U128),Treatments!U128,"")</f>
        <v/>
      </c>
      <c r="H160" s="0" t="str">
        <f aca="false">IF(ISNUMBER(Treatments!V128),Treatments!V128,"")</f>
        <v/>
      </c>
      <c r="I160" s="0" t="s">
        <v>72</v>
      </c>
      <c r="J160" s="0" t="s">
        <v>68</v>
      </c>
      <c r="K160" s="0" t="s">
        <v>22</v>
      </c>
      <c r="L160" s="0" t="s">
        <v>110</v>
      </c>
      <c r="M160" s="0" t="n">
        <f aca="false">IF(ISNUMBER(SEARCH("|"&amp;$C$7&amp;"|",L160)),45,IF(ISNUMBER(SEARCH("|All|",L160)),18,0))</f>
        <v>45</v>
      </c>
      <c r="N160" s="0" t="n">
        <f aca="false">IF(OR($C$4="Any",I160="All"),12,IF(ISNUMBER(SEARCH($C$4,I160)),12,0))</f>
        <v>12</v>
      </c>
      <c r="O160" s="0" t="n">
        <f aca="false">IF(OR($C$5="Any",J160="Any",J160=$C$5),13,0)</f>
        <v>13</v>
      </c>
      <c r="P160" s="0" t="n">
        <f aca="false">IF(OR($C$6="Any",K160="Any",K160=$C$6),10,0)</f>
        <v>10</v>
      </c>
      <c r="Q160" s="0" t="n">
        <f aca="false">IF($C$8="",4,IF(AND(ISNUMBER(G160),ISNUMBER(H160)),IF(AND($C$8&gt;=G160,$C$8&lt;=H160),7,0),4))</f>
        <v>4</v>
      </c>
      <c r="R160" s="0" t="n">
        <f aca="false">M160+N160+O160+P160+Q160+V160+Y160</f>
        <v>97</v>
      </c>
      <c r="S160" s="0" t="n">
        <f aca="false">IF(OR(M160=0,W160=0),-A160,R160*100+D160+F160*0.5-A160*0.001)</f>
        <v>9765.374</v>
      </c>
      <c r="T160" s="0" t="str">
        <f aca="false">Treatments!M128</f>
        <v>Original </v>
      </c>
      <c r="U160" s="0" t="s">
        <v>22</v>
      </c>
      <c r="V160" s="0" t="n">
        <f aca="false">IF(OR($C$11="Any",U160="Any",U160=$C$11),8,0)</f>
        <v>8</v>
      </c>
      <c r="W160" s="0" t="n">
        <f aca="false">IF(LEFT(Treatments!AD128,3)="Yes",1,0)</f>
        <v>1</v>
      </c>
      <c r="X160" s="0" t="str">
        <f aca="false">Treatments!AE128</f>
        <v>Fatal &amp; injury only</v>
      </c>
      <c r="Y160" s="0" t="n">
        <f aca="false">IF($C$12="Any",5,IF($C$12=X160,5,IF(AND($C$12="Fatal &amp; injury only",X160="All crashes"),3,0)))</f>
        <v>5</v>
      </c>
      <c r="Z160" s="0" t="str">
        <f aca="false">Treatments!AE128&amp;" / "&amp;Treatments!AF128</f>
        <v>Fatal &amp; injury only / All crash types</v>
      </c>
      <c r="AA160" s="0" t="str">
        <f aca="false">IF(OR(Treatments!AH128="Overstates",Treatments!AH128="Check"),UPPER(Treatments!AH128)&amp;": "&amp;Treatments!AI128&amp;". ","")&amp;IF(Treatments!AG128="","",Treatments!AG128)</f>
        <v>No AADT range in the study.</v>
      </c>
    </row>
    <row r="161" customFormat="false" ht="12.75" hidden="true" customHeight="false" outlineLevel="0" collapsed="false">
      <c r="A161" s="0" t="n">
        <v>127</v>
      </c>
      <c r="B161" s="0" t="str">
        <f aca="false">Treatments!A129</f>
        <v>Improve Pavement Friction (Increase Skid Resistance)</v>
      </c>
      <c r="C161" s="0" t="str">
        <f aca="false">Treatments!B129</f>
        <v>CM: Pavement Friction Management</v>
      </c>
      <c r="D161" s="0" t="n">
        <f aca="false">Treatments!Q129</f>
        <v>20.1</v>
      </c>
      <c r="E161" s="0" t="n">
        <f aca="false">Treatments!P129</f>
        <v>0.799</v>
      </c>
      <c r="F161" s="0" t="n">
        <f aca="false">IF(ISNUMBER(Treatments!N129),Treatments!N129,0)</f>
        <v>4</v>
      </c>
      <c r="G161" s="0" t="n">
        <f aca="false">IF(ISNUMBER(Treatments!U129),Treatments!U129,"")</f>
        <v>3475</v>
      </c>
      <c r="H161" s="0" t="n">
        <f aca="false">IF(ISNUMBER(Treatments!V129),Treatments!V129,"")</f>
        <v>65850</v>
      </c>
      <c r="I161" s="0" t="s">
        <v>72</v>
      </c>
      <c r="J161" s="0" t="s">
        <v>68</v>
      </c>
      <c r="K161" s="0" t="s">
        <v>22</v>
      </c>
      <c r="L161" s="0" t="s">
        <v>110</v>
      </c>
      <c r="M161" s="0" t="n">
        <f aca="false">IF(ISNUMBER(SEARCH("|"&amp;$C$7&amp;"|",L161)),45,IF(ISNUMBER(SEARCH("|All|",L161)),18,0))</f>
        <v>45</v>
      </c>
      <c r="N161" s="0" t="n">
        <f aca="false">IF(OR($C$4="Any",I161="All"),12,IF(ISNUMBER(SEARCH($C$4,I161)),12,0))</f>
        <v>12</v>
      </c>
      <c r="O161" s="0" t="n">
        <f aca="false">IF(OR($C$5="Any",J161="Any",J161=$C$5),13,0)</f>
        <v>13</v>
      </c>
      <c r="P161" s="0" t="n">
        <f aca="false">IF(OR($C$6="Any",K161="Any",K161=$C$6),10,0)</f>
        <v>10</v>
      </c>
      <c r="Q161" s="0" t="n">
        <f aca="false">IF($C$8="",4,IF(AND(ISNUMBER(G161),ISNUMBER(H161)),IF(AND($C$8&gt;=G161,$C$8&lt;=H161),7,0),4))</f>
        <v>4</v>
      </c>
      <c r="R161" s="0" t="n">
        <f aca="false">M161+N161+O161+P161+Q161+V161+Y161</f>
        <v>97</v>
      </c>
      <c r="S161" s="0" t="n">
        <f aca="false">IF(OR(M161=0,W161=0),-A161,R161*100+D161+F161*0.5-A161*0.001)</f>
        <v>9721.973</v>
      </c>
      <c r="T161" s="0" t="str">
        <f aca="false">Treatments!M129</f>
        <v>Original </v>
      </c>
      <c r="U161" s="0" t="s">
        <v>22</v>
      </c>
      <c r="V161" s="0" t="n">
        <f aca="false">IF(OR($C$11="Any",U161="Any",U161=$C$11),8,0)</f>
        <v>8</v>
      </c>
      <c r="W161" s="0" t="n">
        <f aca="false">IF(LEFT(Treatments!AD129,3)="Yes",1,0)</f>
        <v>1</v>
      </c>
      <c r="X161" s="0" t="str">
        <f aca="false">Treatments!AE129</f>
        <v>All crashes</v>
      </c>
      <c r="Y161" s="0" t="n">
        <f aca="false">IF($C$12="Any",5,IF($C$12=X161,5,IF(AND($C$12="Fatal &amp; injury only",X161="All crashes"),3,0)))</f>
        <v>5</v>
      </c>
      <c r="Z161" s="0" t="str">
        <f aca="false">Treatments!AE129&amp;" / "&amp;Treatments!AF129</f>
        <v>All crashes / All crash types</v>
      </c>
      <c r="AA161" s="0" t="str">
        <f aca="false">IF(OR(Treatments!AH129="Overstates",Treatments!AH129="Check"),UPPER(Treatments!AH129)&amp;": "&amp;Treatments!AI129&amp;". ","")&amp;IF(Treatments!AG129="","",Treatments!AG129)</f>
        <v>AADT tested: 3,475-65,850.</v>
      </c>
    </row>
    <row r="162" customFormat="false" ht="12.75" hidden="true" customHeight="false" outlineLevel="0" collapsed="false">
      <c r="A162" s="0" t="n">
        <v>128</v>
      </c>
      <c r="B162" s="0" t="str">
        <f aca="false">Treatments!A130</f>
        <v>Improve Pavement Friction (Chip Seal)</v>
      </c>
      <c r="C162" s="0" t="str">
        <f aca="false">Treatments!B130</f>
        <v>CM: Pavement Friction Management</v>
      </c>
      <c r="D162" s="0" t="n">
        <f aca="false">Treatments!Q130</f>
        <v>77.8</v>
      </c>
      <c r="E162" s="0" t="n">
        <f aca="false">Treatments!P130</f>
        <v>0.222</v>
      </c>
      <c r="F162" s="0" t="n">
        <f aca="false">IF(ISNUMBER(Treatments!N130),Treatments!N130,0)</f>
        <v>4</v>
      </c>
      <c r="G162" s="0" t="n">
        <f aca="false">IF(ISNUMBER(Treatments!U130),Treatments!U130,"")</f>
        <v>1280</v>
      </c>
      <c r="H162" s="0" t="n">
        <f aca="false">IF(ISNUMBER(Treatments!V130),Treatments!V130,"")</f>
        <v>22600</v>
      </c>
      <c r="I162" s="0" t="s">
        <v>72</v>
      </c>
      <c r="J162" s="0" t="s">
        <v>68</v>
      </c>
      <c r="K162" s="0" t="s">
        <v>22</v>
      </c>
      <c r="L162" s="0" t="s">
        <v>111</v>
      </c>
      <c r="M162" s="0" t="n">
        <f aca="false">IF(ISNUMBER(SEARCH("|"&amp;$C$7&amp;"|",L162)),45,IF(ISNUMBER(SEARCH("|All|",L162)),18,0))</f>
        <v>45</v>
      </c>
      <c r="N162" s="0" t="n">
        <f aca="false">IF(OR($C$4="Any",I162="All"),12,IF(ISNUMBER(SEARCH($C$4,I162)),12,0))</f>
        <v>12</v>
      </c>
      <c r="O162" s="0" t="n">
        <f aca="false">IF(OR($C$5="Any",J162="Any",J162=$C$5),13,0)</f>
        <v>13</v>
      </c>
      <c r="P162" s="0" t="n">
        <f aca="false">IF(OR($C$6="Any",K162="Any",K162=$C$6),10,0)</f>
        <v>10</v>
      </c>
      <c r="Q162" s="0" t="n">
        <f aca="false">IF($C$8="",4,IF(AND(ISNUMBER(G162),ISNUMBER(H162)),IF(AND($C$8&gt;=G162,$C$8&lt;=H162),7,0),4))</f>
        <v>4</v>
      </c>
      <c r="R162" s="0" t="n">
        <f aca="false">M162+N162+O162+P162+Q162+V162+Y162</f>
        <v>97</v>
      </c>
      <c r="S162" s="0" t="n">
        <f aca="false">IF(OR(M162=0,W162=0),-A162,R162*100+D162+F162*0.5-A162*0.001)</f>
        <v>9779.672</v>
      </c>
      <c r="T162" s="0" t="str">
        <f aca="false">Treatments!M130</f>
        <v>Added  </v>
      </c>
      <c r="U162" s="0" t="s">
        <v>22</v>
      </c>
      <c r="V162" s="0" t="n">
        <f aca="false">IF(OR($C$11="Any",U162="Any",U162=$C$11),8,0)</f>
        <v>8</v>
      </c>
      <c r="W162" s="0" t="n">
        <f aca="false">IF(LEFT(Treatments!AD130,3)="Yes",1,0)</f>
        <v>1</v>
      </c>
      <c r="X162" s="0" t="str">
        <f aca="false">Treatments!AE130</f>
        <v>All crashes</v>
      </c>
      <c r="Y162" s="0" t="n">
        <f aca="false">IF($C$12="Any",5,IF($C$12=X162,5,IF(AND($C$12="Fatal &amp; injury only",X162="All crashes"),3,0)))</f>
        <v>5</v>
      </c>
      <c r="Z162" s="0" t="str">
        <f aca="false">Treatments!AE130&amp;" / "&amp;Treatments!AF130</f>
        <v>All crashes / Only: Run off road,Wet road</v>
      </c>
      <c r="AA162" s="0" t="str">
        <f aca="false">IF(OR(Treatments!AH130="Overstates",Treatments!AH130="Check"),UPPER(Treatments!AH130)&amp;": "&amp;Treatments!AI130&amp;". ","")&amp;IF(Treatments!AG130="","",Treatments!AG130)</f>
        <v>AADT tested: 1,280-22,600.</v>
      </c>
    </row>
    <row r="163" customFormat="false" ht="12.75" hidden="true" customHeight="false" outlineLevel="0" collapsed="false">
      <c r="A163" s="0" t="n">
        <v>129</v>
      </c>
      <c r="B163" s="0" t="str">
        <f aca="false">Treatments!A131</f>
        <v>Improve Pavement Friction (OGFC-Open Graded Friction Course)</v>
      </c>
      <c r="C163" s="0" t="str">
        <f aca="false">Treatments!B131</f>
        <v>CM: Pavement Friction Management</v>
      </c>
      <c r="D163" s="0" t="n">
        <f aca="false">Treatments!Q131</f>
        <v>69.4</v>
      </c>
      <c r="E163" s="0" t="n">
        <f aca="false">Treatments!P131</f>
        <v>0.306</v>
      </c>
      <c r="F163" s="0" t="n">
        <f aca="false">IF(ISNUMBER(Treatments!N131),Treatments!N131,0)</f>
        <v>4</v>
      </c>
      <c r="G163" s="0" t="n">
        <f aca="false">IF(ISNUMBER(Treatments!U131),Treatments!U131,"")</f>
        <v>14961</v>
      </c>
      <c r="H163" s="0" t="n">
        <f aca="false">IF(ISNUMBER(Treatments!V131),Treatments!V131,"")</f>
        <v>158656</v>
      </c>
      <c r="I163" s="0" t="s">
        <v>72</v>
      </c>
      <c r="J163" s="0" t="s">
        <v>68</v>
      </c>
      <c r="K163" s="0" t="s">
        <v>22</v>
      </c>
      <c r="L163" s="0" t="s">
        <v>111</v>
      </c>
      <c r="M163" s="0" t="n">
        <f aca="false">IF(ISNUMBER(SEARCH("|"&amp;$C$7&amp;"|",L163)),45,IF(ISNUMBER(SEARCH("|All|",L163)),18,0))</f>
        <v>45</v>
      </c>
      <c r="N163" s="0" t="n">
        <f aca="false">IF(OR($C$4="Any",I163="All"),12,IF(ISNUMBER(SEARCH($C$4,I163)),12,0))</f>
        <v>12</v>
      </c>
      <c r="O163" s="0" t="n">
        <f aca="false">IF(OR($C$5="Any",J163="Any",J163=$C$5),13,0)</f>
        <v>13</v>
      </c>
      <c r="P163" s="0" t="n">
        <f aca="false">IF(OR($C$6="Any",K163="Any",K163=$C$6),10,0)</f>
        <v>10</v>
      </c>
      <c r="Q163" s="0" t="n">
        <f aca="false">IF($C$8="",4,IF(AND(ISNUMBER(G163),ISNUMBER(H163)),IF(AND($C$8&gt;=G163,$C$8&lt;=H163),7,0),4))</f>
        <v>4</v>
      </c>
      <c r="R163" s="0" t="n">
        <f aca="false">M163+N163+O163+P163+Q163+V163+Y163</f>
        <v>97</v>
      </c>
      <c r="S163" s="0" t="n">
        <f aca="false">IF(OR(M163=0,W163=0),-A163,R163*100+D163+F163*0.5-A163*0.001)</f>
        <v>9771.271</v>
      </c>
      <c r="T163" s="0" t="str">
        <f aca="false">Treatments!M131</f>
        <v>Added  </v>
      </c>
      <c r="U163" s="0" t="s">
        <v>22</v>
      </c>
      <c r="V163" s="0" t="n">
        <f aca="false">IF(OR($C$11="Any",U163="Any",U163=$C$11),8,0)</f>
        <v>8</v>
      </c>
      <c r="W163" s="0" t="n">
        <f aca="false">IF(LEFT(Treatments!AD131,3)="Yes",1,0)</f>
        <v>1</v>
      </c>
      <c r="X163" s="0" t="str">
        <f aca="false">Treatments!AE131</f>
        <v>All crashes</v>
      </c>
      <c r="Y163" s="0" t="n">
        <f aca="false">IF($C$12="Any",5,IF($C$12=X163,5,IF(AND($C$12="Fatal &amp; injury only",X163="All crashes"),3,0)))</f>
        <v>5</v>
      </c>
      <c r="Z163" s="0" t="str">
        <f aca="false">Treatments!AE131&amp;" / "&amp;Treatments!AF131</f>
        <v>All crashes / Only: Run off road,Wet road</v>
      </c>
      <c r="AA163" s="0" t="str">
        <f aca="false">IF(OR(Treatments!AH131="Overstates",Treatments!AH131="Check"),UPPER(Treatments!AH131)&amp;": "&amp;Treatments!AI131&amp;". ","")&amp;IF(Treatments!AG131="","",Treatments!AG131)</f>
        <v>AADT tested: 14,961-158,656.</v>
      </c>
    </row>
    <row r="164" customFormat="false" ht="12.75" hidden="true" customHeight="false" outlineLevel="0" collapsed="false">
      <c r="A164" s="0" t="n">
        <v>130</v>
      </c>
      <c r="B164" s="0" t="str">
        <f aca="false">Treatments!A132</f>
        <v>Improve Pavement Friction (UTBWC-Ultra Thin Bonded Wearing Course)</v>
      </c>
      <c r="C164" s="0" t="str">
        <f aca="false">Treatments!B132</f>
        <v>CM: Pavement Friction Management</v>
      </c>
      <c r="D164" s="0" t="n">
        <f aca="false">Treatments!Q132</f>
        <v>67</v>
      </c>
      <c r="E164" s="0" t="n">
        <f aca="false">Treatments!P132</f>
        <v>0.33</v>
      </c>
      <c r="F164" s="0" t="n">
        <f aca="false">IF(ISNUMBER(Treatments!N132),Treatments!N132,0)</f>
        <v>4</v>
      </c>
      <c r="G164" s="0" t="n">
        <f aca="false">IF(ISNUMBER(Treatments!U132),Treatments!U132,"")</f>
        <v>2508</v>
      </c>
      <c r="H164" s="0" t="n">
        <f aca="false">IF(ISNUMBER(Treatments!V132),Treatments!V132,"")</f>
        <v>50811</v>
      </c>
      <c r="I164" s="0" t="s">
        <v>72</v>
      </c>
      <c r="J164" s="0" t="s">
        <v>68</v>
      </c>
      <c r="K164" s="0" t="s">
        <v>22</v>
      </c>
      <c r="L164" s="0" t="s">
        <v>111</v>
      </c>
      <c r="M164" s="0" t="n">
        <f aca="false">IF(ISNUMBER(SEARCH("|"&amp;$C$7&amp;"|",L164)),45,IF(ISNUMBER(SEARCH("|All|",L164)),18,0))</f>
        <v>45</v>
      </c>
      <c r="N164" s="0" t="n">
        <f aca="false">IF(OR($C$4="Any",I164="All"),12,IF(ISNUMBER(SEARCH($C$4,I164)),12,0))</f>
        <v>12</v>
      </c>
      <c r="O164" s="0" t="n">
        <f aca="false">IF(OR($C$5="Any",J164="Any",J164=$C$5),13,0)</f>
        <v>13</v>
      </c>
      <c r="P164" s="0" t="n">
        <f aca="false">IF(OR($C$6="Any",K164="Any",K164=$C$6),10,0)</f>
        <v>10</v>
      </c>
      <c r="Q164" s="0" t="n">
        <f aca="false">IF($C$8="",4,IF(AND(ISNUMBER(G164),ISNUMBER(H164)),IF(AND($C$8&gt;=G164,$C$8&lt;=H164),7,0),4))</f>
        <v>4</v>
      </c>
      <c r="R164" s="0" t="n">
        <f aca="false">M164+N164+O164+P164+Q164+V164+Y164</f>
        <v>97</v>
      </c>
      <c r="S164" s="0" t="n">
        <f aca="false">IF(OR(M164=0,W164=0),-A164,R164*100+D164+F164*0.5-A164*0.001)</f>
        <v>9768.87</v>
      </c>
      <c r="T164" s="0" t="str">
        <f aca="false">Treatments!M132</f>
        <v>Added  </v>
      </c>
      <c r="U164" s="0" t="s">
        <v>22</v>
      </c>
      <c r="V164" s="0" t="n">
        <f aca="false">IF(OR($C$11="Any",U164="Any",U164=$C$11),8,0)</f>
        <v>8</v>
      </c>
      <c r="W164" s="0" t="n">
        <f aca="false">IF(LEFT(Treatments!AD132,3)="Yes",1,0)</f>
        <v>1</v>
      </c>
      <c r="X164" s="0" t="str">
        <f aca="false">Treatments!AE132</f>
        <v>All crashes</v>
      </c>
      <c r="Y164" s="0" t="n">
        <f aca="false">IF($C$12="Any",5,IF($C$12=X164,5,IF(AND($C$12="Fatal &amp; injury only",X164="All crashes"),3,0)))</f>
        <v>5</v>
      </c>
      <c r="Z164" s="0" t="str">
        <f aca="false">Treatments!AE132&amp;" / "&amp;Treatments!AF132</f>
        <v>All crashes / Only: Wet road</v>
      </c>
      <c r="AA164" s="0" t="str">
        <f aca="false">IF(OR(Treatments!AH132="Overstates",Treatments!AH132="Check"),UPPER(Treatments!AH132)&amp;": "&amp;Treatments!AI132&amp;". ","")&amp;IF(Treatments!AG132="","",Treatments!AG132)</f>
        <v>AADT tested: 2,508-50,811.</v>
      </c>
    </row>
    <row r="165" customFormat="false" ht="12.75" hidden="true" customHeight="false" outlineLevel="0" collapsed="false">
      <c r="A165" s="0" t="n">
        <v>131</v>
      </c>
      <c r="B165" s="0" t="str">
        <f aca="false">Treatments!A133</f>
        <v>Improve Pavement Friction (Microsurfacing)</v>
      </c>
      <c r="C165" s="0" t="str">
        <f aca="false">Treatments!B133</f>
        <v>CM: Pavement Friction Management</v>
      </c>
      <c r="D165" s="0" t="n">
        <f aca="false">Treatments!Q133</f>
        <v>56</v>
      </c>
      <c r="E165" s="0" t="n">
        <f aca="false">Treatments!P133</f>
        <v>0.44</v>
      </c>
      <c r="F165" s="0" t="n">
        <f aca="false">IF(ISNUMBER(Treatments!N133),Treatments!N133,0)</f>
        <v>4</v>
      </c>
      <c r="G165" s="0" t="n">
        <f aca="false">IF(ISNUMBER(Treatments!U133),Treatments!U133,"")</f>
        <v>628</v>
      </c>
      <c r="H165" s="0" t="n">
        <f aca="false">IF(ISNUMBER(Treatments!V133),Treatments!V133,"")</f>
        <v>30314</v>
      </c>
      <c r="I165" s="0" t="s">
        <v>72</v>
      </c>
      <c r="J165" s="0" t="s">
        <v>68</v>
      </c>
      <c r="K165" s="0" t="s">
        <v>22</v>
      </c>
      <c r="L165" s="0" t="s">
        <v>111</v>
      </c>
      <c r="M165" s="0" t="n">
        <f aca="false">IF(ISNUMBER(SEARCH("|"&amp;$C$7&amp;"|",L165)),45,IF(ISNUMBER(SEARCH("|All|",L165)),18,0))</f>
        <v>45</v>
      </c>
      <c r="N165" s="0" t="n">
        <f aca="false">IF(OR($C$4="Any",I165="All"),12,IF(ISNUMBER(SEARCH($C$4,I165)),12,0))</f>
        <v>12</v>
      </c>
      <c r="O165" s="0" t="n">
        <f aca="false">IF(OR($C$5="Any",J165="Any",J165=$C$5),13,0)</f>
        <v>13</v>
      </c>
      <c r="P165" s="0" t="n">
        <f aca="false">IF(OR($C$6="Any",K165="Any",K165=$C$6),10,0)</f>
        <v>10</v>
      </c>
      <c r="Q165" s="0" t="n">
        <f aca="false">IF($C$8="",4,IF(AND(ISNUMBER(G165),ISNUMBER(H165)),IF(AND($C$8&gt;=G165,$C$8&lt;=H165),7,0),4))</f>
        <v>4</v>
      </c>
      <c r="R165" s="0" t="n">
        <f aca="false">M165+N165+O165+P165+Q165+V165+Y165</f>
        <v>97</v>
      </c>
      <c r="S165" s="0" t="n">
        <f aca="false">IF(OR(M165=0,W165=0),-A165,R165*100+D165+F165*0.5-A165*0.001)</f>
        <v>9757.869</v>
      </c>
      <c r="T165" s="0" t="str">
        <f aca="false">Treatments!M133</f>
        <v>Added  </v>
      </c>
      <c r="U165" s="0" t="s">
        <v>22</v>
      </c>
      <c r="V165" s="0" t="n">
        <f aca="false">IF(OR($C$11="Any",U165="Any",U165=$C$11),8,0)</f>
        <v>8</v>
      </c>
      <c r="W165" s="0" t="n">
        <f aca="false">IF(LEFT(Treatments!AD133,3)="Yes",1,0)</f>
        <v>1</v>
      </c>
      <c r="X165" s="0" t="str">
        <f aca="false">Treatments!AE133</f>
        <v>All crashes</v>
      </c>
      <c r="Y165" s="0" t="n">
        <f aca="false">IF($C$12="Any",5,IF($C$12=X165,5,IF(AND($C$12="Fatal &amp; injury only",X165="All crashes"),3,0)))</f>
        <v>5</v>
      </c>
      <c r="Z165" s="0" t="str">
        <f aca="false">Treatments!AE133&amp;" / "&amp;Treatments!AF133</f>
        <v>All crashes / Only: Run off road</v>
      </c>
      <c r="AA165" s="0" t="str">
        <f aca="false">IF(OR(Treatments!AH133="Overstates",Treatments!AH133="Check"),UPPER(Treatments!AH133)&amp;": "&amp;Treatments!AI133&amp;". ","")&amp;IF(Treatments!AG133="","",Treatments!AG133)</f>
        <v>AADT tested: 628-30,314.</v>
      </c>
    </row>
    <row r="166" customFormat="false" ht="12.75" hidden="true" customHeight="false" outlineLevel="0" collapsed="false">
      <c r="A166" s="0" t="n">
        <v>132</v>
      </c>
      <c r="B166" s="0" t="str">
        <f aca="false">Treatments!A134</f>
        <v>Improve Pavement Friction (Diamond Grinding)</v>
      </c>
      <c r="C166" s="0" t="str">
        <f aca="false">Treatments!B134</f>
        <v>CM: Pavement Friction Management</v>
      </c>
      <c r="D166" s="0" t="n">
        <f aca="false">Treatments!Q134</f>
        <v>52</v>
      </c>
      <c r="E166" s="0" t="n">
        <f aca="false">Treatments!P134</f>
        <v>0.48</v>
      </c>
      <c r="F166" s="0" t="n">
        <f aca="false">IF(ISNUMBER(Treatments!N134),Treatments!N134,0)</f>
        <v>4</v>
      </c>
      <c r="G166" s="0" t="n">
        <f aca="false">IF(ISNUMBER(Treatments!U134),Treatments!U134,"")</f>
        <v>10240</v>
      </c>
      <c r="H166" s="0" t="n">
        <f aca="false">IF(ISNUMBER(Treatments!V134),Treatments!V134,"")</f>
        <v>278200</v>
      </c>
      <c r="I166" s="0" t="s">
        <v>72</v>
      </c>
      <c r="J166" s="0" t="s">
        <v>68</v>
      </c>
      <c r="K166" s="0" t="s">
        <v>22</v>
      </c>
      <c r="L166" s="0" t="s">
        <v>111</v>
      </c>
      <c r="M166" s="0" t="n">
        <f aca="false">IF(ISNUMBER(SEARCH("|"&amp;$C$7&amp;"|",L166)),45,IF(ISNUMBER(SEARCH("|All|",L166)),18,0))</f>
        <v>45</v>
      </c>
      <c r="N166" s="0" t="n">
        <f aca="false">IF(OR($C$4="Any",I166="All"),12,IF(ISNUMBER(SEARCH($C$4,I166)),12,0))</f>
        <v>12</v>
      </c>
      <c r="O166" s="0" t="n">
        <f aca="false">IF(OR($C$5="Any",J166="Any",J166=$C$5),13,0)</f>
        <v>13</v>
      </c>
      <c r="P166" s="0" t="n">
        <f aca="false">IF(OR($C$6="Any",K166="Any",K166=$C$6),10,0)</f>
        <v>10</v>
      </c>
      <c r="Q166" s="0" t="n">
        <f aca="false">IF($C$8="",4,IF(AND(ISNUMBER(G166),ISNUMBER(H166)),IF(AND($C$8&gt;=G166,$C$8&lt;=H166),7,0),4))</f>
        <v>4</v>
      </c>
      <c r="R166" s="0" t="n">
        <f aca="false">M166+N166+O166+P166+Q166+V166+Y166</f>
        <v>97</v>
      </c>
      <c r="S166" s="0" t="n">
        <f aca="false">IF(OR(M166=0,W166=0),-A166,R166*100+D166+F166*0.5-A166*0.001)</f>
        <v>9753.868</v>
      </c>
      <c r="T166" s="0" t="str">
        <f aca="false">Treatments!M134</f>
        <v>Added  </v>
      </c>
      <c r="U166" s="0" t="s">
        <v>22</v>
      </c>
      <c r="V166" s="0" t="n">
        <f aca="false">IF(OR($C$11="Any",U166="Any",U166=$C$11),8,0)</f>
        <v>8</v>
      </c>
      <c r="W166" s="0" t="n">
        <f aca="false">IF(LEFT(Treatments!AD134,3)="Yes",1,0)</f>
        <v>1</v>
      </c>
      <c r="X166" s="0" t="str">
        <f aca="false">Treatments!AE134</f>
        <v>All crashes</v>
      </c>
      <c r="Y166" s="0" t="n">
        <f aca="false">IF($C$12="Any",5,IF($C$12=X166,5,IF(AND($C$12="Fatal &amp; injury only",X166="All crashes"),3,0)))</f>
        <v>5</v>
      </c>
      <c r="Z166" s="0" t="str">
        <f aca="false">Treatments!AE134&amp;" / "&amp;Treatments!AF134</f>
        <v>All crashes / Only: Wet road</v>
      </c>
      <c r="AA166" s="0" t="str">
        <f aca="false">IF(OR(Treatments!AH134="Overstates",Treatments!AH134="Check"),UPPER(Treatments!AH134)&amp;": "&amp;Treatments!AI134&amp;". ","")&amp;IF(Treatments!AG134="","",Treatments!AG134)</f>
        <v>AADT tested: 10,240-278,200.</v>
      </c>
    </row>
    <row r="167" customFormat="false" ht="12.75" hidden="true" customHeight="false" outlineLevel="0" collapsed="false">
      <c r="A167" s="0" t="n">
        <v>133</v>
      </c>
      <c r="B167" s="0" t="str">
        <f aca="false">Treatments!A135</f>
        <v>Improve Pavement Friction (Thin HMA-Hot Mix Asphalt)</v>
      </c>
      <c r="C167" s="0" t="str">
        <f aca="false">Treatments!B135</f>
        <v>CM: Pavement Friction Management</v>
      </c>
      <c r="D167" s="0" t="n">
        <f aca="false">Treatments!Q135</f>
        <v>46.9</v>
      </c>
      <c r="E167" s="0" t="n">
        <f aca="false">Treatments!P135</f>
        <v>0.531</v>
      </c>
      <c r="F167" s="0" t="n">
        <f aca="false">IF(ISNUMBER(Treatments!N135),Treatments!N135,0)</f>
        <v>4</v>
      </c>
      <c r="G167" s="0" t="n">
        <f aca="false">IF(ISNUMBER(Treatments!U135),Treatments!U135,"")</f>
        <v>69</v>
      </c>
      <c r="H167" s="0" t="n">
        <f aca="false">IF(ISNUMBER(Treatments!V135),Treatments!V135,"")</f>
        <v>8489</v>
      </c>
      <c r="I167" s="0" t="s">
        <v>72</v>
      </c>
      <c r="J167" s="0" t="s">
        <v>68</v>
      </c>
      <c r="K167" s="0" t="s">
        <v>22</v>
      </c>
      <c r="L167" s="0" t="s">
        <v>111</v>
      </c>
      <c r="M167" s="0" t="n">
        <f aca="false">IF(ISNUMBER(SEARCH("|"&amp;$C$7&amp;"|",L167)),45,IF(ISNUMBER(SEARCH("|All|",L167)),18,0))</f>
        <v>45</v>
      </c>
      <c r="N167" s="0" t="n">
        <f aca="false">IF(OR($C$4="Any",I167="All"),12,IF(ISNUMBER(SEARCH($C$4,I167)),12,0))</f>
        <v>12</v>
      </c>
      <c r="O167" s="0" t="n">
        <f aca="false">IF(OR($C$5="Any",J167="Any",J167=$C$5),13,0)</f>
        <v>13</v>
      </c>
      <c r="P167" s="0" t="n">
        <f aca="false">IF(OR($C$6="Any",K167="Any",K167=$C$6),10,0)</f>
        <v>10</v>
      </c>
      <c r="Q167" s="0" t="n">
        <f aca="false">IF($C$8="",4,IF(AND(ISNUMBER(G167),ISNUMBER(H167)),IF(AND($C$8&gt;=G167,$C$8&lt;=H167),7,0),4))</f>
        <v>4</v>
      </c>
      <c r="R167" s="0" t="n">
        <f aca="false">M167+N167+O167+P167+Q167+V167+Y167</f>
        <v>97</v>
      </c>
      <c r="S167" s="0" t="n">
        <f aca="false">IF(OR(M167=0,W167=0),-A167,R167*100+D167+F167*0.5-A167*0.001)</f>
        <v>9748.767</v>
      </c>
      <c r="T167" s="0" t="str">
        <f aca="false">Treatments!M135</f>
        <v>Added  </v>
      </c>
      <c r="U167" s="0" t="s">
        <v>22</v>
      </c>
      <c r="V167" s="0" t="n">
        <f aca="false">IF(OR($C$11="Any",U167="Any",U167=$C$11),8,0)</f>
        <v>8</v>
      </c>
      <c r="W167" s="0" t="n">
        <f aca="false">IF(LEFT(Treatments!AD135,3)="Yes",1,0)</f>
        <v>1</v>
      </c>
      <c r="X167" s="0" t="str">
        <f aca="false">Treatments!AE135</f>
        <v>All crashes</v>
      </c>
      <c r="Y167" s="0" t="n">
        <f aca="false">IF($C$12="Any",5,IF($C$12=X167,5,IF(AND($C$12="Fatal &amp; injury only",X167="All crashes"),3,0)))</f>
        <v>5</v>
      </c>
      <c r="Z167" s="0" t="str">
        <f aca="false">Treatments!AE135&amp;" / "&amp;Treatments!AF135</f>
        <v>All crashes / Only: Wet road</v>
      </c>
      <c r="AA167" s="0" t="str">
        <f aca="false">IF(OR(Treatments!AH135="Overstates",Treatments!AH135="Check"),UPPER(Treatments!AH135)&amp;": "&amp;Treatments!AI135&amp;". ","")&amp;IF(Treatments!AG135="","",Treatments!AG135)</f>
        <v>AADT tested: 69-8,489.</v>
      </c>
    </row>
  </sheetData>
  <dataValidations count="6">
    <dataValidation allowBlank="true" errorStyle="stop" operator="between" showDropDown="false" showErrorMessage="false" showInputMessage="false" sqref="C4" type="list">
      <formula1>"Any,Urban,Rural,Suburban"</formula1>
      <formula2>0</formula2>
    </dataValidation>
    <dataValidation allowBlank="true" errorStyle="stop" operator="between" showDropDown="false" showErrorMessage="false" showInputMessage="false" sqref="C5" type="list">
      <formula1>"Any,Intersection,Roadway Segment,Midblock Crossing"</formula1>
      <formula2>0</formula2>
    </dataValidation>
    <dataValidation allowBlank="true" errorStyle="stop" operator="between" showDropDown="false" showErrorMessage="false" showInputMessage="false" sqref="C6" type="list">
      <formula1>"Any,Signalized,Stop-Controlled,Uncontrolled"</formula1>
      <formula2>0</formula2>
    </dataValidation>
    <dataValidation allowBlank="true" errorStyle="stop" operator="between" showDropDown="false" showErrorMessage="false" showInputMessage="false" sqref="C7" type="list">
      <formula1>"Angle,Rear-End,Head-On,Sideswipe,Left Turn,Right Turn,Pedestrian,Bicycle,Roadway Departure,Lane Departure,Nighttime,Wet/Friction,Speeding"</formula1>
      <formula2>0</formula2>
    </dataValidation>
    <dataValidation allowBlank="true" errorStyle="stop" operator="between" showDropDown="false" showErrorMessage="false" showInputMessage="false" sqref="C11" type="list">
      <formula1>"Any,Freeway/Expressway,Arterial/Collector,Local"</formula1>
      <formula2>0</formula2>
    </dataValidation>
    <dataValidation allowBlank="true" errorStyle="stop" operator="between" showDropDown="false" showErrorMessage="false" showInputMessage="false" sqref="C12" type="list">
      <formula1>"Any,All crashes,Fatal &amp; injury only"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3"/>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J10" activeCellId="0" sqref="J10"/>
    </sheetView>
  </sheetViews>
  <sheetFormatPr defaultColWidth="8.66796875" defaultRowHeight="12.75" zeroHeight="false" outlineLevelRow="0" outlineLevelCol="0"/>
  <cols>
    <col collapsed="false" customWidth="true" hidden="false" outlineLevel="0" max="1" min="1" style="26" width="14"/>
    <col collapsed="false" customWidth="true" hidden="false" outlineLevel="0" max="2" min="2" style="27" width="30"/>
    <col collapsed="false" customWidth="true" hidden="false" outlineLevel="0" max="3" min="3" style="27" width="13"/>
    <col collapsed="false" customWidth="true" hidden="false" outlineLevel="0" max="4" min="4" style="0" width="13"/>
    <col collapsed="false" customWidth="true" hidden="false" outlineLevel="0" max="5" min="5" style="0" width="18"/>
    <col collapsed="false" customWidth="true" hidden="false" outlineLevel="0" max="6" min="6" style="0" width="10"/>
    <col collapsed="false" customWidth="true" hidden="false" outlineLevel="0" max="7" min="7" style="0" width="16"/>
    <col collapsed="false" customWidth="true" hidden="false" outlineLevel="0" max="9" min="8" style="0" width="60"/>
    <col collapsed="false" customWidth="true" hidden="false" outlineLevel="0" max="10" min="10" style="27" width="34"/>
    <col collapsed="false" customWidth="true" hidden="false" outlineLevel="0" max="11" min="11" style="0" width="7"/>
  </cols>
  <sheetData>
    <row r="1" customFormat="false" ht="25.5" hidden="false" customHeight="true" outlineLevel="0" collapsed="false">
      <c r="A1" s="9" t="s">
        <v>112</v>
      </c>
      <c r="B1" s="10"/>
      <c r="C1" s="10"/>
      <c r="D1" s="10"/>
      <c r="E1" s="10"/>
      <c r="F1" s="10"/>
      <c r="G1" s="10"/>
      <c r="H1" s="10"/>
      <c r="I1" s="10"/>
      <c r="J1" s="10"/>
      <c r="K1" s="10"/>
    </row>
    <row r="2" customFormat="false" ht="25.5" hidden="false" customHeight="true" outlineLevel="0" collapsed="false">
      <c r="A2" s="2" t="s">
        <v>113</v>
      </c>
      <c r="B2" s="2"/>
      <c r="C2" s="2"/>
      <c r="D2" s="2"/>
      <c r="E2" s="2"/>
      <c r="F2" s="2"/>
      <c r="G2" s="2"/>
      <c r="H2" s="2"/>
      <c r="I2" s="2"/>
      <c r="J2" s="2"/>
      <c r="K2" s="2"/>
    </row>
    <row r="3" customFormat="false" ht="30" hidden="false" customHeight="true" outlineLevel="0" collapsed="false">
      <c r="A3" s="28" t="s">
        <v>114</v>
      </c>
      <c r="B3" s="28" t="s">
        <v>35</v>
      </c>
      <c r="C3" s="28" t="s">
        <v>115</v>
      </c>
      <c r="D3" s="28" t="s">
        <v>23</v>
      </c>
      <c r="E3" s="28" t="s">
        <v>116</v>
      </c>
      <c r="F3" s="28" t="s">
        <v>117</v>
      </c>
      <c r="G3" s="28" t="s">
        <v>118</v>
      </c>
      <c r="H3" s="28" t="s">
        <v>119</v>
      </c>
      <c r="I3" s="28" t="s">
        <v>120</v>
      </c>
      <c r="J3" s="28" t="s">
        <v>121</v>
      </c>
      <c r="K3" s="28" t="s">
        <v>122</v>
      </c>
    </row>
    <row r="4" customFormat="false" ht="54" hidden="false" customHeight="true" outlineLevel="0" collapsed="false">
      <c r="A4" s="29" t="s">
        <v>123</v>
      </c>
      <c r="B4" s="30" t="s">
        <v>124</v>
      </c>
      <c r="C4" s="29" t="s">
        <v>22</v>
      </c>
      <c r="D4" s="29" t="s">
        <v>22</v>
      </c>
      <c r="E4" s="29" t="s">
        <v>125</v>
      </c>
      <c r="F4" s="29" t="s">
        <v>22</v>
      </c>
      <c r="G4" s="29" t="s">
        <v>126</v>
      </c>
      <c r="H4" s="31" t="s">
        <v>127</v>
      </c>
      <c r="I4" s="29" t="s">
        <v>128</v>
      </c>
      <c r="J4" s="32" t="s">
        <v>129</v>
      </c>
      <c r="K4" s="33" t="n">
        <f aca="false">COUNTIF(Treatments!B:B,B4)</f>
        <v>9</v>
      </c>
    </row>
    <row r="5" customFormat="false" ht="41.25" hidden="false" customHeight="true" outlineLevel="0" collapsed="false">
      <c r="A5" s="29" t="s">
        <v>130</v>
      </c>
      <c r="B5" s="30" t="s">
        <v>131</v>
      </c>
      <c r="C5" s="29" t="s">
        <v>67</v>
      </c>
      <c r="D5" s="29" t="s">
        <v>22</v>
      </c>
      <c r="E5" s="29" t="s">
        <v>132</v>
      </c>
      <c r="F5" s="29" t="s">
        <v>22</v>
      </c>
      <c r="G5" s="29" t="s">
        <v>126</v>
      </c>
      <c r="H5" s="31" t="s">
        <v>133</v>
      </c>
      <c r="I5" s="29" t="s">
        <v>134</v>
      </c>
      <c r="J5" s="29"/>
      <c r="K5" s="33" t="n">
        <f aca="false">COUNTIF(Treatments!B:B,B5)</f>
        <v>8</v>
      </c>
    </row>
    <row r="6" customFormat="false" ht="28.5" hidden="false" customHeight="true" outlineLevel="0" collapsed="false">
      <c r="A6" s="29" t="s">
        <v>130</v>
      </c>
      <c r="B6" s="30" t="s">
        <v>135</v>
      </c>
      <c r="C6" s="29" t="s">
        <v>136</v>
      </c>
      <c r="D6" s="29" t="s">
        <v>80</v>
      </c>
      <c r="E6" s="29" t="s">
        <v>137</v>
      </c>
      <c r="F6" s="29" t="s">
        <v>22</v>
      </c>
      <c r="G6" s="29" t="s">
        <v>126</v>
      </c>
      <c r="H6" s="31" t="s">
        <v>138</v>
      </c>
      <c r="I6" s="29" t="s">
        <v>139</v>
      </c>
      <c r="J6" s="29"/>
      <c r="K6" s="33" t="n">
        <f aca="false">COUNTIF(Treatments!B:B,B6)</f>
        <v>3</v>
      </c>
    </row>
    <row r="7" customFormat="false" ht="41.25" hidden="false" customHeight="true" outlineLevel="0" collapsed="false">
      <c r="A7" s="29" t="s">
        <v>130</v>
      </c>
      <c r="B7" s="30" t="s">
        <v>140</v>
      </c>
      <c r="C7" s="29" t="s">
        <v>136</v>
      </c>
      <c r="D7" s="29" t="s">
        <v>80</v>
      </c>
      <c r="E7" s="29" t="s">
        <v>137</v>
      </c>
      <c r="F7" s="29" t="s">
        <v>141</v>
      </c>
      <c r="G7" s="29" t="s">
        <v>126</v>
      </c>
      <c r="H7" s="31" t="s">
        <v>142</v>
      </c>
      <c r="I7" s="29" t="s">
        <v>143</v>
      </c>
      <c r="J7" s="32" t="s">
        <v>144</v>
      </c>
      <c r="K7" s="33" t="n">
        <f aca="false">COUNTIF(Treatments!B:B,B7)</f>
        <v>2</v>
      </c>
    </row>
    <row r="8" customFormat="false" ht="54" hidden="false" customHeight="true" outlineLevel="0" collapsed="false">
      <c r="A8" s="29" t="s">
        <v>130</v>
      </c>
      <c r="B8" s="30" t="s">
        <v>145</v>
      </c>
      <c r="C8" s="29" t="s">
        <v>136</v>
      </c>
      <c r="D8" s="29" t="s">
        <v>146</v>
      </c>
      <c r="E8" s="29" t="s">
        <v>137</v>
      </c>
      <c r="F8" s="29" t="s">
        <v>22</v>
      </c>
      <c r="G8" s="29" t="s">
        <v>147</v>
      </c>
      <c r="H8" s="31" t="s">
        <v>148</v>
      </c>
      <c r="I8" s="29" t="s">
        <v>149</v>
      </c>
      <c r="J8" s="29"/>
      <c r="K8" s="33" t="n">
        <f aca="false">COUNTIF(Treatments!B:B,B8)</f>
        <v>3</v>
      </c>
    </row>
    <row r="9" customFormat="false" ht="66" hidden="false" customHeight="true" outlineLevel="0" collapsed="false">
      <c r="A9" s="29" t="s">
        <v>130</v>
      </c>
      <c r="B9" s="30" t="s">
        <v>150</v>
      </c>
      <c r="C9" s="29" t="s">
        <v>136</v>
      </c>
      <c r="D9" s="29" t="s">
        <v>146</v>
      </c>
      <c r="E9" s="29" t="s">
        <v>137</v>
      </c>
      <c r="F9" s="29" t="s">
        <v>151</v>
      </c>
      <c r="G9" s="29" t="s">
        <v>152</v>
      </c>
      <c r="H9" s="31" t="s">
        <v>153</v>
      </c>
      <c r="I9" s="29" t="s">
        <v>154</v>
      </c>
      <c r="J9" s="32" t="s">
        <v>155</v>
      </c>
      <c r="K9" s="33" t="n">
        <f aca="false">COUNTIF(Treatments!B:B,B9)</f>
        <v>3</v>
      </c>
    </row>
    <row r="10" customFormat="false" ht="54" hidden="false" customHeight="true" outlineLevel="0" collapsed="false">
      <c r="A10" s="29" t="s">
        <v>130</v>
      </c>
      <c r="B10" s="30" t="s">
        <v>156</v>
      </c>
      <c r="C10" s="29" t="s">
        <v>136</v>
      </c>
      <c r="D10" s="29" t="s">
        <v>146</v>
      </c>
      <c r="E10" s="29" t="s">
        <v>137</v>
      </c>
      <c r="F10" s="29" t="s">
        <v>151</v>
      </c>
      <c r="G10" s="29" t="s">
        <v>157</v>
      </c>
      <c r="H10" s="31" t="s">
        <v>158</v>
      </c>
      <c r="I10" s="29" t="s">
        <v>159</v>
      </c>
      <c r="J10" s="32" t="s">
        <v>160</v>
      </c>
      <c r="K10" s="33" t="n">
        <f aca="false">COUNTIF(Treatments!B:B,B10)</f>
        <v>2</v>
      </c>
    </row>
    <row r="11" customFormat="false" ht="116.25" hidden="false" customHeight="true" outlineLevel="0" collapsed="false">
      <c r="A11" s="29" t="s">
        <v>130</v>
      </c>
      <c r="B11" s="30" t="s">
        <v>161</v>
      </c>
      <c r="C11" s="29" t="s">
        <v>67</v>
      </c>
      <c r="D11" s="29" t="s">
        <v>162</v>
      </c>
      <c r="E11" s="29" t="s">
        <v>163</v>
      </c>
      <c r="F11" s="29" t="s">
        <v>22</v>
      </c>
      <c r="G11" s="29" t="s">
        <v>164</v>
      </c>
      <c r="H11" s="31" t="s">
        <v>165</v>
      </c>
      <c r="I11" s="29" t="s">
        <v>166</v>
      </c>
      <c r="J11" s="32" t="s">
        <v>167</v>
      </c>
      <c r="K11" s="33" t="n">
        <f aca="false">COUNTIF(Treatments!B:B,B11)</f>
        <v>3</v>
      </c>
    </row>
    <row r="12" customFormat="false" ht="28.5" hidden="false" customHeight="true" outlineLevel="0" collapsed="false">
      <c r="A12" s="29" t="s">
        <v>130</v>
      </c>
      <c r="B12" s="30" t="s">
        <v>168</v>
      </c>
      <c r="C12" s="29" t="s">
        <v>22</v>
      </c>
      <c r="D12" s="29" t="s">
        <v>146</v>
      </c>
      <c r="E12" s="29" t="s">
        <v>137</v>
      </c>
      <c r="F12" s="29" t="s">
        <v>22</v>
      </c>
      <c r="G12" s="29" t="s">
        <v>126</v>
      </c>
      <c r="H12" s="31" t="s">
        <v>169</v>
      </c>
      <c r="I12" s="29" t="s">
        <v>170</v>
      </c>
      <c r="J12" s="32" t="s">
        <v>171</v>
      </c>
      <c r="K12" s="33" t="n">
        <f aca="false">COUNTIF(Treatments!B:B,B12)</f>
        <v>1</v>
      </c>
    </row>
    <row r="13" customFormat="false" ht="91.5" hidden="false" customHeight="true" outlineLevel="0" collapsed="false">
      <c r="A13" s="29" t="s">
        <v>172</v>
      </c>
      <c r="B13" s="30" t="s">
        <v>173</v>
      </c>
      <c r="C13" s="29" t="s">
        <v>22</v>
      </c>
      <c r="D13" s="29" t="s">
        <v>174</v>
      </c>
      <c r="E13" s="29" t="s">
        <v>175</v>
      </c>
      <c r="F13" s="29" t="s">
        <v>22</v>
      </c>
      <c r="G13" s="29" t="s">
        <v>176</v>
      </c>
      <c r="H13" s="31" t="s">
        <v>177</v>
      </c>
      <c r="I13" s="29" t="s">
        <v>178</v>
      </c>
      <c r="J13" s="32" t="s">
        <v>179</v>
      </c>
      <c r="K13" s="33" t="n">
        <f aca="false">COUNTIF(Treatments!B:B,B13)</f>
        <v>9</v>
      </c>
    </row>
    <row r="14" customFormat="false" ht="78.75" hidden="false" customHeight="true" outlineLevel="0" collapsed="false">
      <c r="A14" s="29" t="s">
        <v>172</v>
      </c>
      <c r="B14" s="30" t="s">
        <v>180</v>
      </c>
      <c r="C14" s="29" t="s">
        <v>73</v>
      </c>
      <c r="D14" s="29" t="s">
        <v>162</v>
      </c>
      <c r="E14" s="29" t="s">
        <v>181</v>
      </c>
      <c r="F14" s="29" t="s">
        <v>22</v>
      </c>
      <c r="G14" s="29" t="s">
        <v>182</v>
      </c>
      <c r="H14" s="31" t="s">
        <v>183</v>
      </c>
      <c r="I14" s="29" t="s">
        <v>184</v>
      </c>
      <c r="J14" s="29"/>
      <c r="K14" s="33" t="n">
        <f aca="false">COUNTIF(Treatments!B:B,B14)</f>
        <v>5</v>
      </c>
    </row>
    <row r="15" customFormat="false" ht="66" hidden="false" customHeight="true" outlineLevel="0" collapsed="false">
      <c r="A15" s="29" t="s">
        <v>172</v>
      </c>
      <c r="B15" s="30" t="s">
        <v>185</v>
      </c>
      <c r="C15" s="29" t="s">
        <v>73</v>
      </c>
      <c r="D15" s="29" t="s">
        <v>162</v>
      </c>
      <c r="E15" s="29" t="s">
        <v>186</v>
      </c>
      <c r="F15" s="29" t="s">
        <v>22</v>
      </c>
      <c r="G15" s="29" t="s">
        <v>126</v>
      </c>
      <c r="H15" s="31" t="s">
        <v>187</v>
      </c>
      <c r="I15" s="29" t="s">
        <v>188</v>
      </c>
      <c r="J15" s="29"/>
      <c r="K15" s="33" t="n">
        <f aca="false">COUNTIF(Treatments!B:B,B15)</f>
        <v>4</v>
      </c>
    </row>
    <row r="16" customFormat="false" ht="141" hidden="false" customHeight="true" outlineLevel="0" collapsed="false">
      <c r="A16" s="29" t="s">
        <v>172</v>
      </c>
      <c r="B16" s="30" t="s">
        <v>189</v>
      </c>
      <c r="C16" s="29" t="s">
        <v>22</v>
      </c>
      <c r="D16" s="29" t="s">
        <v>162</v>
      </c>
      <c r="E16" s="29" t="s">
        <v>190</v>
      </c>
      <c r="F16" s="29" t="s">
        <v>22</v>
      </c>
      <c r="G16" s="29" t="s">
        <v>191</v>
      </c>
      <c r="H16" s="31" t="s">
        <v>192</v>
      </c>
      <c r="I16" s="29" t="s">
        <v>193</v>
      </c>
      <c r="J16" s="32" t="s">
        <v>194</v>
      </c>
      <c r="K16" s="33" t="n">
        <f aca="false">COUNTIF(Treatments!B:B,B16)</f>
        <v>2</v>
      </c>
    </row>
    <row r="17" customFormat="false" ht="116.25" hidden="false" customHeight="true" outlineLevel="0" collapsed="false">
      <c r="A17" s="29" t="s">
        <v>172</v>
      </c>
      <c r="B17" s="30" t="s">
        <v>195</v>
      </c>
      <c r="C17" s="29" t="s">
        <v>22</v>
      </c>
      <c r="D17" s="29" t="s">
        <v>174</v>
      </c>
      <c r="E17" s="29" t="s">
        <v>196</v>
      </c>
      <c r="F17" s="29" t="s">
        <v>22</v>
      </c>
      <c r="G17" s="29" t="s">
        <v>176</v>
      </c>
      <c r="H17" s="31" t="s">
        <v>197</v>
      </c>
      <c r="I17" s="29" t="s">
        <v>198</v>
      </c>
      <c r="J17" s="32" t="s">
        <v>199</v>
      </c>
      <c r="K17" s="33" t="n">
        <f aca="false">COUNTIF(Treatments!B:B,B17)</f>
        <v>3</v>
      </c>
    </row>
    <row r="18" customFormat="false" ht="116.25" hidden="false" customHeight="true" outlineLevel="0" collapsed="false">
      <c r="A18" s="29" t="s">
        <v>172</v>
      </c>
      <c r="B18" s="30" t="s">
        <v>200</v>
      </c>
      <c r="C18" s="29" t="s">
        <v>22</v>
      </c>
      <c r="D18" s="29" t="s">
        <v>162</v>
      </c>
      <c r="E18" s="29" t="s">
        <v>201</v>
      </c>
      <c r="F18" s="29" t="s">
        <v>22</v>
      </c>
      <c r="G18" s="29" t="s">
        <v>126</v>
      </c>
      <c r="H18" s="31" t="s">
        <v>202</v>
      </c>
      <c r="I18" s="29" t="s">
        <v>203</v>
      </c>
      <c r="J18" s="32" t="s">
        <v>204</v>
      </c>
      <c r="K18" s="33" t="n">
        <f aca="false">COUNTIF(Treatments!B:B,B18)</f>
        <v>2</v>
      </c>
    </row>
    <row r="19" customFormat="false" ht="66" hidden="false" customHeight="true" outlineLevel="0" collapsed="false">
      <c r="A19" s="29" t="s">
        <v>172</v>
      </c>
      <c r="B19" s="30" t="s">
        <v>205</v>
      </c>
      <c r="C19" s="29" t="s">
        <v>73</v>
      </c>
      <c r="D19" s="29" t="s">
        <v>162</v>
      </c>
      <c r="E19" s="29" t="s">
        <v>186</v>
      </c>
      <c r="F19" s="29" t="s">
        <v>22</v>
      </c>
      <c r="G19" s="29" t="s">
        <v>126</v>
      </c>
      <c r="H19" s="31" t="s">
        <v>187</v>
      </c>
      <c r="I19" s="29" t="s">
        <v>206</v>
      </c>
      <c r="J19" s="29"/>
      <c r="K19" s="33" t="n">
        <f aca="false">COUNTIF(Treatments!B:B,B19)</f>
        <v>2</v>
      </c>
    </row>
    <row r="20" customFormat="false" ht="66" hidden="false" customHeight="true" outlineLevel="0" collapsed="false">
      <c r="A20" s="29" t="s">
        <v>172</v>
      </c>
      <c r="B20" s="30" t="s">
        <v>207</v>
      </c>
      <c r="C20" s="29" t="s">
        <v>73</v>
      </c>
      <c r="D20" s="29" t="s">
        <v>162</v>
      </c>
      <c r="E20" s="29" t="s">
        <v>186</v>
      </c>
      <c r="F20" s="29" t="s">
        <v>22</v>
      </c>
      <c r="G20" s="29" t="s">
        <v>126</v>
      </c>
      <c r="H20" s="31" t="s">
        <v>187</v>
      </c>
      <c r="I20" s="29" t="s">
        <v>208</v>
      </c>
      <c r="J20" s="29"/>
      <c r="K20" s="33" t="n">
        <f aca="false">COUNTIF(Treatments!B:B,B20)</f>
        <v>5</v>
      </c>
    </row>
    <row r="21" customFormat="false" ht="54" hidden="false" customHeight="true" outlineLevel="0" collapsed="false">
      <c r="A21" s="29" t="s">
        <v>209</v>
      </c>
      <c r="B21" s="30" t="s">
        <v>210</v>
      </c>
      <c r="C21" s="29" t="s">
        <v>22</v>
      </c>
      <c r="D21" s="29" t="s">
        <v>80</v>
      </c>
      <c r="E21" s="29" t="s">
        <v>211</v>
      </c>
      <c r="F21" s="29" t="s">
        <v>141</v>
      </c>
      <c r="G21" s="29" t="s">
        <v>126</v>
      </c>
      <c r="H21" s="31" t="s">
        <v>212</v>
      </c>
      <c r="I21" s="29"/>
      <c r="J21" s="29"/>
      <c r="K21" s="33" t="n">
        <f aca="false">COUNTIF(Treatments!B:B,B21)</f>
        <v>1</v>
      </c>
    </row>
    <row r="22" customFormat="false" ht="66" hidden="false" customHeight="true" outlineLevel="0" collapsed="false">
      <c r="A22" s="29" t="s">
        <v>209</v>
      </c>
      <c r="B22" s="30" t="s">
        <v>213</v>
      </c>
      <c r="C22" s="29" t="s">
        <v>22</v>
      </c>
      <c r="D22" s="29" t="s">
        <v>214</v>
      </c>
      <c r="E22" s="29" t="s">
        <v>215</v>
      </c>
      <c r="F22" s="29" t="s">
        <v>22</v>
      </c>
      <c r="G22" s="29" t="s">
        <v>126</v>
      </c>
      <c r="H22" s="31" t="s">
        <v>216</v>
      </c>
      <c r="I22" s="29" t="s">
        <v>217</v>
      </c>
      <c r="J22" s="32" t="s">
        <v>218</v>
      </c>
      <c r="K22" s="33" t="n">
        <f aca="false">COUNTIF(Treatments!B:B,B22)</f>
        <v>6</v>
      </c>
    </row>
    <row r="23" customFormat="false" ht="41.25" hidden="false" customHeight="true" outlineLevel="0" collapsed="false">
      <c r="A23" s="29" t="s">
        <v>209</v>
      </c>
      <c r="B23" s="30" t="s">
        <v>219</v>
      </c>
      <c r="C23" s="29" t="s">
        <v>22</v>
      </c>
      <c r="D23" s="29" t="s">
        <v>80</v>
      </c>
      <c r="E23" s="29" t="s">
        <v>220</v>
      </c>
      <c r="F23" s="29" t="s">
        <v>22</v>
      </c>
      <c r="G23" s="29" t="s">
        <v>126</v>
      </c>
      <c r="H23" s="31" t="s">
        <v>221</v>
      </c>
      <c r="I23" s="29" t="s">
        <v>222</v>
      </c>
      <c r="J23" s="32" t="s">
        <v>223</v>
      </c>
      <c r="K23" s="33" t="n">
        <f aca="false">COUNTIF(Treatments!B:B,B23)</f>
        <v>6</v>
      </c>
    </row>
    <row r="24" customFormat="false" ht="54" hidden="false" customHeight="true" outlineLevel="0" collapsed="false">
      <c r="A24" s="29" t="s">
        <v>209</v>
      </c>
      <c r="B24" s="30" t="s">
        <v>224</v>
      </c>
      <c r="C24" s="29" t="s">
        <v>22</v>
      </c>
      <c r="D24" s="29" t="s">
        <v>80</v>
      </c>
      <c r="E24" s="29" t="s">
        <v>215</v>
      </c>
      <c r="F24" s="29" t="s">
        <v>22</v>
      </c>
      <c r="G24" s="29" t="s">
        <v>126</v>
      </c>
      <c r="H24" s="31" t="s">
        <v>225</v>
      </c>
      <c r="I24" s="29"/>
      <c r="J24" s="29"/>
      <c r="K24" s="33" t="n">
        <f aca="false">COUNTIF(Treatments!B:B,B24)</f>
        <v>7</v>
      </c>
    </row>
    <row r="25" customFormat="false" ht="41.25" hidden="false" customHeight="true" outlineLevel="0" collapsed="false">
      <c r="A25" s="29" t="s">
        <v>209</v>
      </c>
      <c r="B25" s="30" t="s">
        <v>226</v>
      </c>
      <c r="C25" s="29" t="s">
        <v>22</v>
      </c>
      <c r="D25" s="29" t="s">
        <v>80</v>
      </c>
      <c r="E25" s="29" t="s">
        <v>227</v>
      </c>
      <c r="F25" s="29" t="s">
        <v>22</v>
      </c>
      <c r="G25" s="29" t="s">
        <v>126</v>
      </c>
      <c r="H25" s="31" t="s">
        <v>228</v>
      </c>
      <c r="I25" s="29"/>
      <c r="J25" s="29"/>
      <c r="K25" s="33" t="n">
        <f aca="false">COUNTIF(Treatments!B:B,B25)</f>
        <v>6</v>
      </c>
    </row>
    <row r="26" customFormat="false" ht="66" hidden="false" customHeight="true" outlineLevel="0" collapsed="false">
      <c r="A26" s="29" t="s">
        <v>209</v>
      </c>
      <c r="B26" s="30" t="s">
        <v>229</v>
      </c>
      <c r="C26" s="29" t="s">
        <v>22</v>
      </c>
      <c r="D26" s="29" t="s">
        <v>80</v>
      </c>
      <c r="E26" s="29" t="s">
        <v>230</v>
      </c>
      <c r="F26" s="29" t="s">
        <v>141</v>
      </c>
      <c r="G26" s="29" t="s">
        <v>126</v>
      </c>
      <c r="H26" s="31" t="s">
        <v>231</v>
      </c>
      <c r="I26" s="29" t="s">
        <v>232</v>
      </c>
      <c r="J26" s="32" t="s">
        <v>233</v>
      </c>
      <c r="K26" s="33" t="n">
        <f aca="false">COUNTIF(Treatments!B:B,B26)</f>
        <v>6</v>
      </c>
    </row>
    <row r="27" customFormat="false" ht="54" hidden="false" customHeight="true" outlineLevel="0" collapsed="false">
      <c r="A27" s="29" t="s">
        <v>209</v>
      </c>
      <c r="B27" s="30" t="s">
        <v>234</v>
      </c>
      <c r="C27" s="29" t="s">
        <v>22</v>
      </c>
      <c r="D27" s="29" t="s">
        <v>80</v>
      </c>
      <c r="E27" s="29" t="s">
        <v>227</v>
      </c>
      <c r="F27" s="29" t="s">
        <v>22</v>
      </c>
      <c r="G27" s="29" t="s">
        <v>126</v>
      </c>
      <c r="H27" s="31" t="s">
        <v>235</v>
      </c>
      <c r="I27" s="29" t="s">
        <v>236</v>
      </c>
      <c r="J27" s="29"/>
      <c r="K27" s="33" t="n">
        <f aca="false">COUNTIF(Treatments!B:B,B27)</f>
        <v>8</v>
      </c>
    </row>
    <row r="28" customFormat="false" ht="41.25" hidden="false" customHeight="true" outlineLevel="0" collapsed="false">
      <c r="A28" s="29" t="s">
        <v>209</v>
      </c>
      <c r="B28" s="30" t="s">
        <v>237</v>
      </c>
      <c r="C28" s="29" t="s">
        <v>22</v>
      </c>
      <c r="D28" s="29" t="s">
        <v>80</v>
      </c>
      <c r="E28" s="29" t="s">
        <v>238</v>
      </c>
      <c r="F28" s="29" t="s">
        <v>239</v>
      </c>
      <c r="G28" s="29" t="s">
        <v>126</v>
      </c>
      <c r="H28" s="31" t="s">
        <v>240</v>
      </c>
      <c r="I28" s="29"/>
      <c r="J28" s="32" t="s">
        <v>241</v>
      </c>
      <c r="K28" s="33" t="n">
        <f aca="false">COUNTIF(Treatments!B:B,B28)</f>
        <v>1</v>
      </c>
    </row>
    <row r="29" customFormat="false" ht="54" hidden="false" customHeight="true" outlineLevel="0" collapsed="false">
      <c r="A29" s="29" t="s">
        <v>209</v>
      </c>
      <c r="B29" s="30" t="s">
        <v>242</v>
      </c>
      <c r="C29" s="29" t="s">
        <v>73</v>
      </c>
      <c r="D29" s="29" t="s">
        <v>80</v>
      </c>
      <c r="E29" s="29" t="s">
        <v>238</v>
      </c>
      <c r="F29" s="29" t="s">
        <v>239</v>
      </c>
      <c r="G29" s="29" t="s">
        <v>126</v>
      </c>
      <c r="H29" s="31" t="s">
        <v>243</v>
      </c>
      <c r="I29" s="29"/>
      <c r="J29" s="29"/>
      <c r="K29" s="33" t="n">
        <f aca="false">COUNTIF(Treatments!B:B,B29)</f>
        <v>6</v>
      </c>
    </row>
    <row r="30" customFormat="false" ht="54" hidden="false" customHeight="true" outlineLevel="0" collapsed="false">
      <c r="A30" s="29" t="s">
        <v>209</v>
      </c>
      <c r="B30" s="30" t="s">
        <v>244</v>
      </c>
      <c r="C30" s="29" t="s">
        <v>22</v>
      </c>
      <c r="D30" s="29" t="s">
        <v>80</v>
      </c>
      <c r="E30" s="29" t="s">
        <v>72</v>
      </c>
      <c r="F30" s="29" t="s">
        <v>239</v>
      </c>
      <c r="G30" s="29" t="s">
        <v>245</v>
      </c>
      <c r="H30" s="31" t="s">
        <v>246</v>
      </c>
      <c r="I30" s="29" t="s">
        <v>247</v>
      </c>
      <c r="J30" s="32" t="s">
        <v>248</v>
      </c>
      <c r="K30" s="33" t="n">
        <f aca="false">COUNTIF(Treatments!B:B,B30)</f>
        <v>5</v>
      </c>
    </row>
    <row r="31" customFormat="false" ht="66" hidden="false" customHeight="true" outlineLevel="0" collapsed="false">
      <c r="A31" s="29" t="s">
        <v>209</v>
      </c>
      <c r="B31" s="30" t="s">
        <v>249</v>
      </c>
      <c r="C31" s="29" t="s">
        <v>22</v>
      </c>
      <c r="D31" s="29" t="s">
        <v>80</v>
      </c>
      <c r="E31" s="29" t="s">
        <v>250</v>
      </c>
      <c r="F31" s="29" t="s">
        <v>141</v>
      </c>
      <c r="G31" s="29" t="s">
        <v>126</v>
      </c>
      <c r="H31" s="31" t="s">
        <v>251</v>
      </c>
      <c r="I31" s="29" t="s">
        <v>252</v>
      </c>
      <c r="J31" s="32" t="s">
        <v>253</v>
      </c>
      <c r="K31" s="33" t="n">
        <f aca="false">COUNTIF(Treatments!B:B,B31)</f>
        <v>2</v>
      </c>
    </row>
    <row r="32" customFormat="false" ht="66" hidden="false" customHeight="true" outlineLevel="0" collapsed="false">
      <c r="A32" s="29" t="s">
        <v>254</v>
      </c>
      <c r="B32" s="30" t="s">
        <v>255</v>
      </c>
      <c r="C32" s="29" t="s">
        <v>22</v>
      </c>
      <c r="D32" s="29" t="s">
        <v>22</v>
      </c>
      <c r="E32" s="29" t="s">
        <v>256</v>
      </c>
      <c r="F32" s="29" t="s">
        <v>22</v>
      </c>
      <c r="G32" s="29" t="s">
        <v>126</v>
      </c>
      <c r="H32" s="31" t="s">
        <v>257</v>
      </c>
      <c r="I32" s="29" t="s">
        <v>258</v>
      </c>
      <c r="J32" s="32" t="s">
        <v>259</v>
      </c>
      <c r="K32" s="33" t="n">
        <f aca="false">COUNTIF(Treatments!B:B,B32)</f>
        <v>5</v>
      </c>
    </row>
    <row r="33" customFormat="false" ht="91.5" hidden="false" customHeight="true" outlineLevel="0" collapsed="false">
      <c r="A33" s="29" t="s">
        <v>254</v>
      </c>
      <c r="B33" s="30" t="s">
        <v>260</v>
      </c>
      <c r="C33" s="29" t="s">
        <v>22</v>
      </c>
      <c r="D33" s="29" t="s">
        <v>22</v>
      </c>
      <c r="E33" s="29" t="s">
        <v>261</v>
      </c>
      <c r="F33" s="29" t="s">
        <v>22</v>
      </c>
      <c r="G33" s="29" t="s">
        <v>262</v>
      </c>
      <c r="H33" s="31" t="s">
        <v>263</v>
      </c>
      <c r="I33" s="29" t="s">
        <v>264</v>
      </c>
      <c r="J33" s="29"/>
      <c r="K33" s="33" t="n">
        <f aca="false">COUNTIF(Treatments!B:B,B33)</f>
        <v>8</v>
      </c>
    </row>
  </sheetData>
  <autoFilter ref="A3:K33"/>
  <mergeCells count="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3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B120" activeCellId="0" sqref="B120"/>
    </sheetView>
  </sheetViews>
  <sheetFormatPr defaultColWidth="8.66796875" defaultRowHeight="12.75" zeroHeight="false" outlineLevelRow="0" outlineLevelCol="0"/>
  <cols>
    <col collapsed="false" customWidth="true" hidden="false" outlineLevel="0" max="1" min="1" style="0" width="58"/>
    <col collapsed="false" customWidth="true" hidden="false" outlineLevel="0" max="2" min="2" style="0" width="42"/>
    <col collapsed="false" customWidth="true" hidden="false" outlineLevel="0" max="12" min="3" style="0" width="10"/>
    <col collapsed="false" customWidth="true" hidden="false" outlineLevel="0" max="13" min="13" style="0" width="19"/>
    <col collapsed="false" customWidth="true" hidden="false" outlineLevel="0" max="14" min="14" style="0" width="6"/>
    <col collapsed="false" customWidth="true" hidden="false" outlineLevel="0" max="15" min="15" style="0" width="15"/>
    <col collapsed="false" customWidth="true" hidden="false" outlineLevel="0" max="17" min="16" style="0" width="8"/>
    <col collapsed="false" customWidth="true" hidden="false" outlineLevel="0" max="18" min="18" style="0" width="18"/>
    <col collapsed="false" customWidth="true" hidden="false" outlineLevel="0" max="19" min="19" style="0" width="22"/>
    <col collapsed="false" customWidth="true" hidden="false" outlineLevel="0" max="20" min="20" style="0" width="24"/>
    <col collapsed="false" customWidth="true" hidden="false" outlineLevel="0" max="23" min="21" style="0" width="10"/>
    <col collapsed="false" customWidth="true" hidden="false" outlineLevel="0" max="24" min="24" style="0" width="22"/>
    <col collapsed="false" customWidth="true" hidden="false" outlineLevel="0" max="25" min="25" style="0" width="10"/>
    <col collapsed="false" customWidth="true" hidden="false" outlineLevel="0" max="26" min="26" style="0" width="7"/>
    <col collapsed="false" customWidth="true" hidden="false" outlineLevel="0" max="27" min="27" style="0" width="24"/>
    <col collapsed="false" customWidth="true" hidden="false" outlineLevel="0" max="28" min="28" style="0" width="22"/>
    <col collapsed="false" customWidth="true" hidden="false" outlineLevel="0" max="29" min="29" style="0" width="58"/>
    <col collapsed="false" customWidth="true" hidden="false" outlineLevel="0" max="30" min="30" style="0" width="16"/>
    <col collapsed="false" customWidth="true" hidden="false" outlineLevel="0" max="31" min="31" style="0" width="15"/>
    <col collapsed="false" customWidth="true" hidden="false" outlineLevel="0" max="32" min="32" style="0" width="24"/>
    <col collapsed="false" customWidth="true" hidden="false" outlineLevel="0" max="33" min="33" style="0" width="52"/>
    <col collapsed="false" customWidth="true" hidden="false" outlineLevel="0" max="34" min="34" style="0" width="13"/>
    <col collapsed="false" customWidth="true" hidden="false" outlineLevel="0" max="35" min="35" style="0" width="34"/>
  </cols>
  <sheetData>
    <row r="1" customFormat="false" ht="25.5" hidden="false" customHeight="true" outlineLevel="0" collapsed="false">
      <c r="A1" s="34" t="s">
        <v>265</v>
      </c>
      <c r="B1" s="34"/>
      <c r="C1" s="34"/>
      <c r="D1" s="34"/>
      <c r="E1" s="34"/>
      <c r="F1" s="34"/>
      <c r="G1" s="34"/>
      <c r="H1" s="34"/>
      <c r="I1" s="34"/>
      <c r="J1" s="34"/>
      <c r="K1" s="34"/>
      <c r="L1" s="34"/>
      <c r="M1" s="34"/>
      <c r="N1" s="34"/>
      <c r="O1" s="34"/>
      <c r="P1" s="34"/>
      <c r="Q1" s="34"/>
      <c r="R1" s="34"/>
      <c r="S1" s="34"/>
      <c r="T1" s="34"/>
      <c r="U1" s="34"/>
      <c r="V1" s="34"/>
      <c r="W1" s="34"/>
      <c r="X1" s="34"/>
      <c r="Y1" s="34"/>
      <c r="Z1" s="34"/>
      <c r="AA1" s="34"/>
      <c r="AB1" s="34"/>
      <c r="AC1" s="34"/>
    </row>
    <row r="2" customFormat="false" ht="39.75" hidden="false" customHeight="true" outlineLevel="0" collapsed="false">
      <c r="A2" s="35" t="s">
        <v>34</v>
      </c>
      <c r="B2" s="35" t="s">
        <v>35</v>
      </c>
      <c r="C2" s="35" t="s">
        <v>266</v>
      </c>
      <c r="D2" s="35" t="s">
        <v>267</v>
      </c>
      <c r="E2" s="35" t="s">
        <v>268</v>
      </c>
      <c r="F2" s="35" t="s">
        <v>269</v>
      </c>
      <c r="G2" s="35" t="s">
        <v>270</v>
      </c>
      <c r="H2" s="35" t="s">
        <v>271</v>
      </c>
      <c r="I2" s="35" t="s">
        <v>272</v>
      </c>
      <c r="J2" s="35" t="s">
        <v>273</v>
      </c>
      <c r="K2" s="35" t="s">
        <v>274</v>
      </c>
      <c r="L2" s="35" t="s">
        <v>275</v>
      </c>
      <c r="M2" s="35" t="s">
        <v>42</v>
      </c>
      <c r="N2" s="35" t="s">
        <v>38</v>
      </c>
      <c r="O2" s="35" t="s">
        <v>21</v>
      </c>
      <c r="P2" s="35" t="s">
        <v>276</v>
      </c>
      <c r="Q2" s="35" t="s">
        <v>277</v>
      </c>
      <c r="R2" s="35" t="s">
        <v>278</v>
      </c>
      <c r="S2" s="35" t="s">
        <v>279</v>
      </c>
      <c r="T2" s="35" t="s">
        <v>280</v>
      </c>
      <c r="U2" s="35" t="s">
        <v>281</v>
      </c>
      <c r="V2" s="35" t="s">
        <v>282</v>
      </c>
      <c r="W2" s="35" t="s">
        <v>283</v>
      </c>
      <c r="X2" s="35" t="s">
        <v>284</v>
      </c>
      <c r="Y2" s="35" t="s">
        <v>285</v>
      </c>
      <c r="Z2" s="35" t="s">
        <v>286</v>
      </c>
      <c r="AA2" s="35" t="s">
        <v>287</v>
      </c>
      <c r="AB2" s="35" t="s">
        <v>288</v>
      </c>
      <c r="AC2" s="35" t="s">
        <v>289</v>
      </c>
      <c r="AD2" s="18" t="s">
        <v>290</v>
      </c>
      <c r="AE2" s="18" t="s">
        <v>291</v>
      </c>
      <c r="AF2" s="18" t="s">
        <v>292</v>
      </c>
      <c r="AG2" s="18" t="s">
        <v>293</v>
      </c>
      <c r="AH2" s="18" t="s">
        <v>294</v>
      </c>
      <c r="AI2" s="18" t="s">
        <v>295</v>
      </c>
    </row>
    <row r="3" customFormat="false" ht="46.25" hidden="false" customHeight="false" outlineLevel="0" collapsed="false">
      <c r="A3" s="36" t="s">
        <v>296</v>
      </c>
      <c r="B3" s="37" t="s">
        <v>124</v>
      </c>
      <c r="C3" s="38" t="n">
        <f aca="false">IF(OR($R3="All",$R3="Not specified",ISNUMBER(SEARCH("K (",$R3))),$P3,1)</f>
        <v>0.632</v>
      </c>
      <c r="D3" s="38" t="n">
        <f aca="false">IF(OR($R3="All",$R3="Not specified",ISNUMBER(SEARCH("A (",$R3))),$P3,1)</f>
        <v>0.632</v>
      </c>
      <c r="E3" s="38" t="n">
        <f aca="false">IF(OR($R3="All",$R3="Not specified",ISNUMBER(SEARCH("B (",$R3))),$P3,1)</f>
        <v>0.632</v>
      </c>
      <c r="F3" s="38" t="n">
        <f aca="false">IF(OR($R3="All",$R3="Not specified",ISNUMBER(SEARCH("C (",$R3))),$P3,1)</f>
        <v>0.632</v>
      </c>
      <c r="G3" s="38" t="n">
        <f aca="false">IF(OR($R3="All",$R3="Not specified",ISNUMBER(SEARCH("O (",$R3))),$P3,1)</f>
        <v>1</v>
      </c>
      <c r="H3" s="39" t="n">
        <v>20</v>
      </c>
      <c r="I3" s="40"/>
      <c r="J3" s="40"/>
      <c r="K3" s="40"/>
      <c r="L3" s="40" t="s">
        <v>297</v>
      </c>
      <c r="M3" s="41" t="s">
        <v>298</v>
      </c>
      <c r="N3" s="39" t="n">
        <v>5</v>
      </c>
      <c r="O3" s="40" t="s">
        <v>67</v>
      </c>
      <c r="P3" s="42" t="n">
        <v>0.632</v>
      </c>
      <c r="Q3" s="43" t="n">
        <f aca="false">IF(ISNUMBER(P3),ROUND((1-P3)*100,1),"NR")</f>
        <v>36.8</v>
      </c>
      <c r="R3" s="40" t="s">
        <v>299</v>
      </c>
      <c r="S3" s="40" t="s">
        <v>72</v>
      </c>
      <c r="T3" s="40" t="s">
        <v>300</v>
      </c>
      <c r="U3" s="39" t="s">
        <v>301</v>
      </c>
      <c r="V3" s="39" t="s">
        <v>301</v>
      </c>
      <c r="W3" s="39" t="str">
        <f aca="false">IF(AND(ISNUMBER(U3),ISNUMBER(V3)),ROUND((U3+V3)/2,0),IF(ISNUMBER(U3),U3,IF(ISNUMBER(V3),V3,"NR")))</f>
        <v>NR</v>
      </c>
      <c r="X3" s="40" t="s">
        <v>302</v>
      </c>
      <c r="Y3" s="40" t="s">
        <v>303</v>
      </c>
      <c r="Z3" s="40" t="s">
        <v>304</v>
      </c>
      <c r="AA3" s="40" t="s">
        <v>305</v>
      </c>
      <c r="AB3" s="40" t="s">
        <v>306</v>
      </c>
      <c r="AC3" s="40" t="s">
        <v>307</v>
      </c>
      <c r="AD3" s="44" t="s">
        <v>308</v>
      </c>
      <c r="AE3" s="44" t="s">
        <v>309</v>
      </c>
      <c r="AF3" s="44" t="s">
        <v>310</v>
      </c>
      <c r="AG3" s="44" t="s">
        <v>311</v>
      </c>
      <c r="AH3" s="45" t="s">
        <v>11</v>
      </c>
      <c r="AI3" s="46" t="s">
        <v>12</v>
      </c>
    </row>
    <row r="4" customFormat="false" ht="46.25" hidden="false" customHeight="false" outlineLevel="0" collapsed="false">
      <c r="A4" s="36" t="s">
        <v>312</v>
      </c>
      <c r="B4" s="37" t="s">
        <v>124</v>
      </c>
      <c r="C4" s="38" t="n">
        <f aca="false">IF(OR($R4="All",$R4="Not specified",ISNUMBER(SEARCH("K (",$R4))),$P4,1)</f>
        <v>0.46</v>
      </c>
      <c r="D4" s="38" t="n">
        <f aca="false">IF(OR($R4="All",$R4="Not specified",ISNUMBER(SEARCH("A (",$R4))),$P4,1)</f>
        <v>0.46</v>
      </c>
      <c r="E4" s="38" t="n">
        <f aca="false">IF(OR($R4="All",$R4="Not specified",ISNUMBER(SEARCH("B (",$R4))),$P4,1)</f>
        <v>0.46</v>
      </c>
      <c r="F4" s="38" t="n">
        <f aca="false">IF(OR($R4="All",$R4="Not specified",ISNUMBER(SEARCH("C (",$R4))),$P4,1)</f>
        <v>0.46</v>
      </c>
      <c r="G4" s="38" t="n">
        <f aca="false">IF(OR($R4="All",$R4="Not specified",ISNUMBER(SEARCH("O (",$R4))),$P4,1)</f>
        <v>0.46</v>
      </c>
      <c r="H4" s="39" t="n">
        <v>20</v>
      </c>
      <c r="I4" s="40"/>
      <c r="J4" s="40"/>
      <c r="K4" s="40"/>
      <c r="L4" s="40" t="s">
        <v>313</v>
      </c>
      <c r="M4" s="41" t="s">
        <v>298</v>
      </c>
      <c r="N4" s="39" t="n">
        <v>4</v>
      </c>
      <c r="O4" s="40" t="s">
        <v>67</v>
      </c>
      <c r="P4" s="42" t="n">
        <v>0.46</v>
      </c>
      <c r="Q4" s="43" t="n">
        <f aca="false">IF(ISNUMBER(P4),ROUND((1-P4)*100,1),"NR")</f>
        <v>54</v>
      </c>
      <c r="R4" s="40" t="s">
        <v>72</v>
      </c>
      <c r="S4" s="40" t="s">
        <v>72</v>
      </c>
      <c r="T4" s="40" t="s">
        <v>314</v>
      </c>
      <c r="U4" s="39" t="s">
        <v>301</v>
      </c>
      <c r="V4" s="39" t="s">
        <v>301</v>
      </c>
      <c r="W4" s="39" t="str">
        <f aca="false">IF(AND(ISNUMBER(U4),ISNUMBER(V4)),ROUND((U4+V4)/2,0),IF(ISNUMBER(U4),U4,IF(ISNUMBER(V4),V4,"NR")))</f>
        <v>NR</v>
      </c>
      <c r="X4" s="40" t="s">
        <v>302</v>
      </c>
      <c r="Y4" s="40" t="s">
        <v>301</v>
      </c>
      <c r="Z4" s="40" t="s">
        <v>304</v>
      </c>
      <c r="AA4" s="40" t="s">
        <v>315</v>
      </c>
      <c r="AB4" s="40" t="s">
        <v>306</v>
      </c>
      <c r="AC4" s="40" t="s">
        <v>316</v>
      </c>
      <c r="AD4" s="44" t="s">
        <v>308</v>
      </c>
      <c r="AE4" s="44" t="s">
        <v>317</v>
      </c>
      <c r="AF4" s="44" t="s">
        <v>310</v>
      </c>
      <c r="AG4" s="44" t="s">
        <v>318</v>
      </c>
      <c r="AH4" s="45" t="s">
        <v>11</v>
      </c>
      <c r="AI4" s="46" t="s">
        <v>12</v>
      </c>
    </row>
    <row r="5" customFormat="false" ht="32.8" hidden="false" customHeight="false" outlineLevel="0" collapsed="false">
      <c r="A5" s="36" t="s">
        <v>319</v>
      </c>
      <c r="B5" s="37" t="s">
        <v>124</v>
      </c>
      <c r="C5" s="38" t="n">
        <f aca="false">IF(OR($R5="All",$R5="Not specified",ISNUMBER(SEARCH("K (",$R5))),$P5,1)</f>
        <v>0.66</v>
      </c>
      <c r="D5" s="38" t="n">
        <f aca="false">IF(OR($R5="All",$R5="Not specified",ISNUMBER(SEARCH("A (",$R5))),$P5,1)</f>
        <v>0.66</v>
      </c>
      <c r="E5" s="38" t="n">
        <f aca="false">IF(OR($R5="All",$R5="Not specified",ISNUMBER(SEARCH("B (",$R5))),$P5,1)</f>
        <v>0.66</v>
      </c>
      <c r="F5" s="38" t="n">
        <f aca="false">IF(OR($R5="All",$R5="Not specified",ISNUMBER(SEARCH("C (",$R5))),$P5,1)</f>
        <v>0.66</v>
      </c>
      <c r="G5" s="38" t="n">
        <f aca="false">IF(OR($R5="All",$R5="Not specified",ISNUMBER(SEARCH("O (",$R5))),$P5,1)</f>
        <v>0.66</v>
      </c>
      <c r="H5" s="39" t="n">
        <v>20</v>
      </c>
      <c r="I5" s="40"/>
      <c r="J5" s="40"/>
      <c r="K5" s="40"/>
      <c r="L5" s="40" t="s">
        <v>320</v>
      </c>
      <c r="M5" s="41" t="s">
        <v>298</v>
      </c>
      <c r="N5" s="39" t="n">
        <v>3</v>
      </c>
      <c r="O5" s="40" t="s">
        <v>321</v>
      </c>
      <c r="P5" s="42" t="n">
        <v>0.66</v>
      </c>
      <c r="Q5" s="43" t="n">
        <f aca="false">IF(ISNUMBER(P5),ROUND((1-P5)*100,1),"NR")</f>
        <v>34</v>
      </c>
      <c r="R5" s="40" t="s">
        <v>72</v>
      </c>
      <c r="S5" s="40" t="s">
        <v>72</v>
      </c>
      <c r="T5" s="40" t="s">
        <v>322</v>
      </c>
      <c r="U5" s="39" t="n">
        <v>10194</v>
      </c>
      <c r="V5" s="39" t="n">
        <v>11090</v>
      </c>
      <c r="W5" s="39" t="n">
        <f aca="false">IF(AND(ISNUMBER(U5),ISNUMBER(V5)),ROUND((U5+V5)/2,0),IF(ISNUMBER(U5),U5,IF(ISNUMBER(V5),V5,"NR")))</f>
        <v>10642</v>
      </c>
      <c r="X5" s="40" t="s">
        <v>302</v>
      </c>
      <c r="Y5" s="40" t="s">
        <v>323</v>
      </c>
      <c r="Z5" s="40" t="s">
        <v>304</v>
      </c>
      <c r="AA5" s="40" t="s">
        <v>324</v>
      </c>
      <c r="AB5" s="40" t="s">
        <v>325</v>
      </c>
      <c r="AC5" s="40"/>
      <c r="AD5" s="44" t="s">
        <v>308</v>
      </c>
      <c r="AE5" s="44" t="s">
        <v>317</v>
      </c>
      <c r="AF5" s="44" t="s">
        <v>310</v>
      </c>
      <c r="AG5" s="44" t="s">
        <v>326</v>
      </c>
      <c r="AH5" s="45" t="s">
        <v>11</v>
      </c>
      <c r="AI5" s="46" t="s">
        <v>12</v>
      </c>
    </row>
    <row r="6" customFormat="false" ht="46.25" hidden="false" customHeight="false" outlineLevel="0" collapsed="false">
      <c r="A6" s="36" t="s">
        <v>327</v>
      </c>
      <c r="B6" s="37" t="s">
        <v>124</v>
      </c>
      <c r="C6" s="38" t="n">
        <f aca="false">IF(OR($R6="All",$R6="Not specified",ISNUMBER(SEARCH("K (",$R6))),$P6,1)</f>
        <v>0.861</v>
      </c>
      <c r="D6" s="38" t="n">
        <f aca="false">IF(OR($R6="All",$R6="Not specified",ISNUMBER(SEARCH("A (",$R6))),$P6,1)</f>
        <v>0.861</v>
      </c>
      <c r="E6" s="38" t="n">
        <f aca="false">IF(OR($R6="All",$R6="Not specified",ISNUMBER(SEARCH("B (",$R6))),$P6,1)</f>
        <v>0.861</v>
      </c>
      <c r="F6" s="38" t="n">
        <f aca="false">IF(OR($R6="All",$R6="Not specified",ISNUMBER(SEARCH("C (",$R6))),$P6,1)</f>
        <v>0.861</v>
      </c>
      <c r="G6" s="38" t="n">
        <f aca="false">IF(OR($R6="All",$R6="Not specified",ISNUMBER(SEARCH("O (",$R6))),$P6,1)</f>
        <v>1</v>
      </c>
      <c r="H6" s="39" t="n">
        <v>20</v>
      </c>
      <c r="I6" s="40"/>
      <c r="J6" s="40"/>
      <c r="K6" s="40"/>
      <c r="L6" s="40" t="s">
        <v>328</v>
      </c>
      <c r="M6" s="47" t="s">
        <v>329</v>
      </c>
      <c r="N6" s="39" t="n">
        <v>4</v>
      </c>
      <c r="O6" s="40" t="s">
        <v>302</v>
      </c>
      <c r="P6" s="42" t="n">
        <v>0.861</v>
      </c>
      <c r="Q6" s="43" t="n">
        <f aca="false">IF(ISNUMBER(P6),ROUND((1-P6)*100,1),"NR")</f>
        <v>13.9</v>
      </c>
      <c r="R6" s="40" t="s">
        <v>330</v>
      </c>
      <c r="S6" s="40" t="s">
        <v>72</v>
      </c>
      <c r="T6" s="40" t="s">
        <v>322</v>
      </c>
      <c r="U6" s="39" t="n">
        <v>53729</v>
      </c>
      <c r="V6" s="39" t="n">
        <v>282619</v>
      </c>
      <c r="W6" s="39" t="n">
        <f aca="false">IF(AND(ISNUMBER(U6),ISNUMBER(V6)),ROUND((U6+V6)/2,0),IF(ISNUMBER(U6),U6,IF(ISNUMBER(V6),V6,"NR")))</f>
        <v>168174</v>
      </c>
      <c r="X6" s="40" t="s">
        <v>302</v>
      </c>
      <c r="Y6" s="40" t="s">
        <v>301</v>
      </c>
      <c r="Z6" s="40" t="s">
        <v>304</v>
      </c>
      <c r="AA6" s="40" t="s">
        <v>331</v>
      </c>
      <c r="AB6" s="40" t="s">
        <v>306</v>
      </c>
      <c r="AC6" s="40" t="s">
        <v>332</v>
      </c>
      <c r="AD6" s="44" t="s">
        <v>308</v>
      </c>
      <c r="AE6" s="44" t="s">
        <v>309</v>
      </c>
      <c r="AF6" s="44" t="s">
        <v>310</v>
      </c>
      <c r="AG6" s="44" t="s">
        <v>333</v>
      </c>
      <c r="AH6" s="45" t="s">
        <v>11</v>
      </c>
      <c r="AI6" s="46" t="s">
        <v>12</v>
      </c>
    </row>
    <row r="7" customFormat="false" ht="35.05" hidden="false" customHeight="false" outlineLevel="0" collapsed="false">
      <c r="A7" s="36" t="s">
        <v>334</v>
      </c>
      <c r="B7" s="37" t="s">
        <v>124</v>
      </c>
      <c r="C7" s="38" t="n">
        <f aca="false">IF(OR($R7="All",$R7="Not specified",ISNUMBER(SEARCH("K (",$R7))),$P7,1)</f>
        <v>0.93</v>
      </c>
      <c r="D7" s="38" t="n">
        <f aca="false">IF(OR($R7="All",$R7="Not specified",ISNUMBER(SEARCH("A (",$R7))),$P7,1)</f>
        <v>0.93</v>
      </c>
      <c r="E7" s="38" t="n">
        <f aca="false">IF(OR($R7="All",$R7="Not specified",ISNUMBER(SEARCH("B (",$R7))),$P7,1)</f>
        <v>0.93</v>
      </c>
      <c r="F7" s="38" t="n">
        <f aca="false">IF(OR($R7="All",$R7="Not specified",ISNUMBER(SEARCH("C (",$R7))),$P7,1)</f>
        <v>0.93</v>
      </c>
      <c r="G7" s="38" t="n">
        <f aca="false">IF(OR($R7="All",$R7="Not specified",ISNUMBER(SEARCH("O (",$R7))),$P7,1)</f>
        <v>0.93</v>
      </c>
      <c r="H7" s="39" t="n">
        <v>20</v>
      </c>
      <c r="I7" s="40"/>
      <c r="J7" s="40"/>
      <c r="K7" s="40"/>
      <c r="L7" s="40" t="s">
        <v>335</v>
      </c>
      <c r="M7" s="47" t="s">
        <v>329</v>
      </c>
      <c r="N7" s="39" t="n">
        <v>4</v>
      </c>
      <c r="O7" s="40" t="s">
        <v>73</v>
      </c>
      <c r="P7" s="42" t="n">
        <v>0.93</v>
      </c>
      <c r="Q7" s="43" t="n">
        <f aca="false">IF(ISNUMBER(P7),ROUND((1-P7)*100,1),"NR")</f>
        <v>7</v>
      </c>
      <c r="R7" s="40" t="s">
        <v>72</v>
      </c>
      <c r="S7" s="40" t="s">
        <v>72</v>
      </c>
      <c r="T7" s="40" t="s">
        <v>321</v>
      </c>
      <c r="U7" s="39" t="n">
        <v>400</v>
      </c>
      <c r="V7" s="39" t="n">
        <v>8400</v>
      </c>
      <c r="W7" s="39" t="n">
        <f aca="false">IF(AND(ISNUMBER(U7),ISNUMBER(V7)),ROUND((U7+V7)/2,0),IF(ISNUMBER(U7),U7,IF(ISNUMBER(V7),V7,"NR")))</f>
        <v>4400</v>
      </c>
      <c r="X7" s="40" t="s">
        <v>302</v>
      </c>
      <c r="Y7" s="40" t="s">
        <v>336</v>
      </c>
      <c r="Z7" s="40" t="s">
        <v>304</v>
      </c>
      <c r="AA7" s="40" t="s">
        <v>337</v>
      </c>
      <c r="AB7" s="40" t="s">
        <v>306</v>
      </c>
      <c r="AC7" s="40" t="s">
        <v>338</v>
      </c>
      <c r="AD7" s="44" t="s">
        <v>308</v>
      </c>
      <c r="AE7" s="44" t="s">
        <v>317</v>
      </c>
      <c r="AF7" s="44" t="s">
        <v>310</v>
      </c>
      <c r="AG7" s="44" t="s">
        <v>339</v>
      </c>
      <c r="AH7" s="45" t="s">
        <v>11</v>
      </c>
      <c r="AI7" s="46" t="s">
        <v>12</v>
      </c>
    </row>
    <row r="8" customFormat="false" ht="35.05" hidden="false" customHeight="false" outlineLevel="0" collapsed="false">
      <c r="A8" s="36" t="s">
        <v>296</v>
      </c>
      <c r="B8" s="37" t="s">
        <v>124</v>
      </c>
      <c r="C8" s="38" t="n">
        <f aca="false">IF(OR($R8="All",$R8="Not specified",ISNUMBER(SEARCH("K (",$R8))),$P8,1)</f>
        <v>0.563</v>
      </c>
      <c r="D8" s="38" t="n">
        <f aca="false">IF(OR($R8="All",$R8="Not specified",ISNUMBER(SEARCH("A (",$R8))),$P8,1)</f>
        <v>0.563</v>
      </c>
      <c r="E8" s="38" t="n">
        <f aca="false">IF(OR($R8="All",$R8="Not specified",ISNUMBER(SEARCH("B (",$R8))),$P8,1)</f>
        <v>0.563</v>
      </c>
      <c r="F8" s="38" t="n">
        <f aca="false">IF(OR($R8="All",$R8="Not specified",ISNUMBER(SEARCH("C (",$R8))),$P8,1)</f>
        <v>0.563</v>
      </c>
      <c r="G8" s="38" t="n">
        <f aca="false">IF(OR($R8="All",$R8="Not specified",ISNUMBER(SEARCH("O (",$R8))),$P8,1)</f>
        <v>0.563</v>
      </c>
      <c r="H8" s="39" t="n">
        <v>20</v>
      </c>
      <c r="I8" s="40"/>
      <c r="J8" s="40"/>
      <c r="K8" s="40"/>
      <c r="L8" s="40" t="s">
        <v>340</v>
      </c>
      <c r="M8" s="47" t="s">
        <v>329</v>
      </c>
      <c r="N8" s="39" t="n">
        <v>5</v>
      </c>
      <c r="O8" s="40" t="s">
        <v>67</v>
      </c>
      <c r="P8" s="42" t="n">
        <v>0.563</v>
      </c>
      <c r="Q8" s="43" t="n">
        <f aca="false">IF(ISNUMBER(P8),ROUND((1-P8)*100,1),"NR")</f>
        <v>43.7</v>
      </c>
      <c r="R8" s="40" t="s">
        <v>72</v>
      </c>
      <c r="S8" s="40" t="s">
        <v>341</v>
      </c>
      <c r="T8" s="40" t="s">
        <v>300</v>
      </c>
      <c r="U8" s="39" t="s">
        <v>301</v>
      </c>
      <c r="V8" s="39" t="s">
        <v>301</v>
      </c>
      <c r="W8" s="39" t="str">
        <f aca="false">IF(AND(ISNUMBER(U8),ISNUMBER(V8)),ROUND((U8+V8)/2,0),IF(ISNUMBER(U8),U8,IF(ISNUMBER(V8),V8,"NR")))</f>
        <v>NR</v>
      </c>
      <c r="X8" s="40" t="s">
        <v>302</v>
      </c>
      <c r="Y8" s="40" t="s">
        <v>303</v>
      </c>
      <c r="Z8" s="40" t="s">
        <v>304</v>
      </c>
      <c r="AA8" s="40" t="s">
        <v>305</v>
      </c>
      <c r="AB8" s="40" t="s">
        <v>306</v>
      </c>
      <c r="AC8" s="40" t="s">
        <v>307</v>
      </c>
      <c r="AD8" s="44" t="s">
        <v>308</v>
      </c>
      <c r="AE8" s="44" t="s">
        <v>317</v>
      </c>
      <c r="AF8" s="44" t="s">
        <v>342</v>
      </c>
      <c r="AG8" s="44" t="s">
        <v>311</v>
      </c>
      <c r="AH8" s="48" t="s">
        <v>13</v>
      </c>
      <c r="AI8" s="46" t="s">
        <v>343</v>
      </c>
    </row>
    <row r="9" customFormat="false" ht="46.25" hidden="false" customHeight="false" outlineLevel="0" collapsed="false">
      <c r="A9" s="36" t="s">
        <v>344</v>
      </c>
      <c r="B9" s="37" t="s">
        <v>124</v>
      </c>
      <c r="C9" s="38" t="n">
        <f aca="false">IF(OR($R9="All",$R9="Not specified",ISNUMBER(SEARCH("K (",$R9))),$P9,1)</f>
        <v>0.799</v>
      </c>
      <c r="D9" s="38" t="n">
        <f aca="false">IF(OR($R9="All",$R9="Not specified",ISNUMBER(SEARCH("A (",$R9))),$P9,1)</f>
        <v>0.799</v>
      </c>
      <c r="E9" s="38" t="n">
        <f aca="false">IF(OR($R9="All",$R9="Not specified",ISNUMBER(SEARCH("B (",$R9))),$P9,1)</f>
        <v>0.799</v>
      </c>
      <c r="F9" s="38" t="n">
        <f aca="false">IF(OR($R9="All",$R9="Not specified",ISNUMBER(SEARCH("C (",$R9))),$P9,1)</f>
        <v>0.799</v>
      </c>
      <c r="G9" s="38" t="n">
        <f aca="false">IF(OR($R9="All",$R9="Not specified",ISNUMBER(SEARCH("O (",$R9))),$P9,1)</f>
        <v>1</v>
      </c>
      <c r="H9" s="39" t="n">
        <v>20</v>
      </c>
      <c r="I9" s="40"/>
      <c r="J9" s="40"/>
      <c r="K9" s="40"/>
      <c r="L9" s="40" t="s">
        <v>345</v>
      </c>
      <c r="M9" s="47" t="s">
        <v>329</v>
      </c>
      <c r="N9" s="39" t="n">
        <v>5</v>
      </c>
      <c r="O9" s="40" t="s">
        <v>67</v>
      </c>
      <c r="P9" s="42" t="n">
        <v>0.799</v>
      </c>
      <c r="Q9" s="43" t="n">
        <f aca="false">IF(ISNUMBER(P9),ROUND((1-P9)*100,1),"NR")</f>
        <v>20.1</v>
      </c>
      <c r="R9" s="40" t="s">
        <v>299</v>
      </c>
      <c r="S9" s="40" t="s">
        <v>72</v>
      </c>
      <c r="T9" s="40" t="s">
        <v>314</v>
      </c>
      <c r="U9" s="39" t="n">
        <v>2079</v>
      </c>
      <c r="V9" s="39" t="n">
        <v>22960</v>
      </c>
      <c r="W9" s="39" t="n">
        <f aca="false">IF(AND(ISNUMBER(U9),ISNUMBER(V9)),ROUND((U9+V9)/2,0),IF(ISNUMBER(U9),U9,IF(ISNUMBER(V9),V9,"NR")))</f>
        <v>12520</v>
      </c>
      <c r="X9" s="40" t="s">
        <v>302</v>
      </c>
      <c r="Y9" s="40" t="s">
        <v>301</v>
      </c>
      <c r="Z9" s="40" t="s">
        <v>304</v>
      </c>
      <c r="AA9" s="40" t="s">
        <v>305</v>
      </c>
      <c r="AB9" s="40" t="s">
        <v>306</v>
      </c>
      <c r="AC9" s="40" t="s">
        <v>346</v>
      </c>
      <c r="AD9" s="44" t="s">
        <v>308</v>
      </c>
      <c r="AE9" s="44" t="s">
        <v>309</v>
      </c>
      <c r="AF9" s="44" t="s">
        <v>310</v>
      </c>
      <c r="AG9" s="44" t="s">
        <v>347</v>
      </c>
      <c r="AH9" s="45" t="s">
        <v>11</v>
      </c>
      <c r="AI9" s="46" t="s">
        <v>12</v>
      </c>
    </row>
    <row r="10" customFormat="false" ht="46.25" hidden="false" customHeight="false" outlineLevel="0" collapsed="false">
      <c r="A10" s="36" t="s">
        <v>312</v>
      </c>
      <c r="B10" s="37" t="s">
        <v>124</v>
      </c>
      <c r="C10" s="38" t="n">
        <f aca="false">IF(OR($R10="All",$R10="Not specified",ISNUMBER(SEARCH("K (",$R10))),$P10,1)</f>
        <v>1</v>
      </c>
      <c r="D10" s="38" t="n">
        <f aca="false">IF(OR($R10="All",$R10="Not specified",ISNUMBER(SEARCH("A (",$R10))),$P10,1)</f>
        <v>1</v>
      </c>
      <c r="E10" s="38" t="n">
        <f aca="false">IF(OR($R10="All",$R10="Not specified",ISNUMBER(SEARCH("B (",$R10))),$P10,1)</f>
        <v>1</v>
      </c>
      <c r="F10" s="38" t="n">
        <f aca="false">IF(OR($R10="All",$R10="Not specified",ISNUMBER(SEARCH("C (",$R10))),$P10,1)</f>
        <v>1</v>
      </c>
      <c r="G10" s="38" t="n">
        <f aca="false">IF(OR($R10="All",$R10="Not specified",ISNUMBER(SEARCH("O (",$R10))),$P10,1)</f>
        <v>0.33</v>
      </c>
      <c r="H10" s="39" t="n">
        <v>20</v>
      </c>
      <c r="I10" s="40"/>
      <c r="J10" s="40"/>
      <c r="K10" s="40"/>
      <c r="L10" s="40" t="s">
        <v>348</v>
      </c>
      <c r="M10" s="47" t="s">
        <v>329</v>
      </c>
      <c r="N10" s="39" t="n">
        <v>4</v>
      </c>
      <c r="O10" s="40" t="s">
        <v>67</v>
      </c>
      <c r="P10" s="42" t="n">
        <v>0.33</v>
      </c>
      <c r="Q10" s="43" t="n">
        <f aca="false">IF(ISNUMBER(P10),ROUND((1-P10)*100,1),"NR")</f>
        <v>67</v>
      </c>
      <c r="R10" s="40" t="s">
        <v>349</v>
      </c>
      <c r="S10" s="40" t="s">
        <v>341</v>
      </c>
      <c r="T10" s="40" t="s">
        <v>314</v>
      </c>
      <c r="U10" s="39" t="s">
        <v>301</v>
      </c>
      <c r="V10" s="39" t="s">
        <v>301</v>
      </c>
      <c r="W10" s="39" t="str">
        <f aca="false">IF(AND(ISNUMBER(U10),ISNUMBER(V10)),ROUND((U10+V10)/2,0),IF(ISNUMBER(U10),U10,IF(ISNUMBER(V10),V10,"NR")))</f>
        <v>NR</v>
      </c>
      <c r="X10" s="40" t="s">
        <v>302</v>
      </c>
      <c r="Y10" s="40" t="s">
        <v>301</v>
      </c>
      <c r="Z10" s="40" t="s">
        <v>304</v>
      </c>
      <c r="AA10" s="40" t="s">
        <v>315</v>
      </c>
      <c r="AB10" s="40" t="s">
        <v>306</v>
      </c>
      <c r="AC10" s="40" t="s">
        <v>316</v>
      </c>
      <c r="AD10" s="44" t="s">
        <v>308</v>
      </c>
      <c r="AE10" s="44" t="s">
        <v>350</v>
      </c>
      <c r="AF10" s="44" t="s">
        <v>342</v>
      </c>
      <c r="AG10" s="44" t="s">
        <v>318</v>
      </c>
      <c r="AH10" s="48" t="s">
        <v>13</v>
      </c>
      <c r="AI10" s="46" t="s">
        <v>351</v>
      </c>
    </row>
    <row r="11" customFormat="false" ht="35.05" hidden="false" customHeight="false" outlineLevel="0" collapsed="false">
      <c r="A11" s="36" t="s">
        <v>352</v>
      </c>
      <c r="B11" s="37" t="s">
        <v>124</v>
      </c>
      <c r="C11" s="38" t="n">
        <f aca="false">IF(OR($R11="All",$R11="Not specified",ISNUMBER(SEARCH("K (",$R11))),$P11,1)</f>
        <v>0.57</v>
      </c>
      <c r="D11" s="38" t="n">
        <f aca="false">IF(OR($R11="All",$R11="Not specified",ISNUMBER(SEARCH("A (",$R11))),$P11,1)</f>
        <v>0.57</v>
      </c>
      <c r="E11" s="38" t="n">
        <f aca="false">IF(OR($R11="All",$R11="Not specified",ISNUMBER(SEARCH("B (",$R11))),$P11,1)</f>
        <v>0.57</v>
      </c>
      <c r="F11" s="38" t="n">
        <f aca="false">IF(OR($R11="All",$R11="Not specified",ISNUMBER(SEARCH("C (",$R11))),$P11,1)</f>
        <v>0.57</v>
      </c>
      <c r="G11" s="38" t="n">
        <f aca="false">IF(OR($R11="All",$R11="Not specified",ISNUMBER(SEARCH("O (",$R11))),$P11,1)</f>
        <v>0.57</v>
      </c>
      <c r="H11" s="39" t="n">
        <v>20</v>
      </c>
      <c r="I11" s="40"/>
      <c r="J11" s="40"/>
      <c r="K11" s="40"/>
      <c r="L11" s="40" t="s">
        <v>353</v>
      </c>
      <c r="M11" s="47" t="s">
        <v>329</v>
      </c>
      <c r="N11" s="39" t="n">
        <v>4</v>
      </c>
      <c r="O11" s="40" t="s">
        <v>321</v>
      </c>
      <c r="P11" s="42" t="n">
        <v>0.57</v>
      </c>
      <c r="Q11" s="43" t="n">
        <f aca="false">IF(ISNUMBER(P11),ROUND((1-P11)*100,1),"NR")</f>
        <v>43</v>
      </c>
      <c r="R11" s="40" t="s">
        <v>72</v>
      </c>
      <c r="S11" s="40" t="s">
        <v>72</v>
      </c>
      <c r="T11" s="40" t="s">
        <v>300</v>
      </c>
      <c r="U11" s="39" t="n">
        <v>23000</v>
      </c>
      <c r="V11" s="39" t="n">
        <v>42000</v>
      </c>
      <c r="W11" s="39" t="n">
        <f aca="false">IF(AND(ISNUMBER(U11),ISNUMBER(V11)),ROUND((U11+V11)/2,0),IF(ISNUMBER(U11),U11,IF(ISNUMBER(V11),V11,"NR")))</f>
        <v>32500</v>
      </c>
      <c r="X11" s="40" t="s">
        <v>302</v>
      </c>
      <c r="Y11" s="40" t="s">
        <v>354</v>
      </c>
      <c r="Z11" s="40" t="s">
        <v>304</v>
      </c>
      <c r="AA11" s="40" t="s">
        <v>355</v>
      </c>
      <c r="AB11" s="40" t="s">
        <v>306</v>
      </c>
      <c r="AC11" s="40"/>
      <c r="AD11" s="44" t="s">
        <v>308</v>
      </c>
      <c r="AE11" s="44" t="s">
        <v>317</v>
      </c>
      <c r="AF11" s="44" t="s">
        <v>310</v>
      </c>
      <c r="AG11" s="44" t="s">
        <v>356</v>
      </c>
      <c r="AH11" s="45" t="s">
        <v>11</v>
      </c>
      <c r="AI11" s="46" t="s">
        <v>12</v>
      </c>
    </row>
    <row r="12" customFormat="false" ht="23.85" hidden="false" customHeight="false" outlineLevel="0" collapsed="false">
      <c r="A12" s="49" t="s">
        <v>357</v>
      </c>
      <c r="B12" s="50" t="s">
        <v>131</v>
      </c>
      <c r="C12" s="38" t="n">
        <f aca="false">IF(OR($R12="All",$R12="Not specified",ISNUMBER(SEARCH("K (",$R12))),$P12,1)</f>
        <v>0.468</v>
      </c>
      <c r="D12" s="38" t="n">
        <f aca="false">IF(OR($R12="All",$R12="Not specified",ISNUMBER(SEARCH("A (",$R12))),$P12,1)</f>
        <v>0.468</v>
      </c>
      <c r="E12" s="38" t="n">
        <f aca="false">IF(OR($R12="All",$R12="Not specified",ISNUMBER(SEARCH("B (",$R12))),$P12,1)</f>
        <v>0.468</v>
      </c>
      <c r="F12" s="38" t="n">
        <f aca="false">IF(OR($R12="All",$R12="Not specified",ISNUMBER(SEARCH("C (",$R12))),$P12,1)</f>
        <v>0.468</v>
      </c>
      <c r="G12" s="38" t="n">
        <f aca="false">IF(OR($R12="All",$R12="Not specified",ISNUMBER(SEARCH("O (",$R12))),$P12,1)</f>
        <v>0.468</v>
      </c>
      <c r="H12" s="39" t="n">
        <v>20</v>
      </c>
      <c r="I12" s="40"/>
      <c r="J12" s="40"/>
      <c r="K12" s="40"/>
      <c r="L12" s="40" t="s">
        <v>358</v>
      </c>
      <c r="M12" s="41" t="s">
        <v>298</v>
      </c>
      <c r="N12" s="39" t="n">
        <v>4</v>
      </c>
      <c r="O12" s="40" t="s">
        <v>67</v>
      </c>
      <c r="P12" s="42" t="n">
        <v>0.468</v>
      </c>
      <c r="Q12" s="43" t="n">
        <f aca="false">IF(ISNUMBER(P12),ROUND((1-P12)*100,1),"NR")</f>
        <v>53.2</v>
      </c>
      <c r="R12" s="40" t="s">
        <v>72</v>
      </c>
      <c r="S12" s="40" t="s">
        <v>359</v>
      </c>
      <c r="T12" s="40" t="s">
        <v>321</v>
      </c>
      <c r="U12" s="39" t="s">
        <v>301</v>
      </c>
      <c r="V12" s="39" t="s">
        <v>301</v>
      </c>
      <c r="W12" s="39" t="str">
        <f aca="false">IF(AND(ISNUMBER(U12),ISNUMBER(V12)),ROUND((U12+V12)/2,0),IF(ISNUMBER(U12),U12,IF(ISNUMBER(V12),V12,"NR")))</f>
        <v>NR</v>
      </c>
      <c r="X12" s="40" t="s">
        <v>302</v>
      </c>
      <c r="Y12" s="40" t="s">
        <v>301</v>
      </c>
      <c r="Z12" s="40" t="s">
        <v>304</v>
      </c>
      <c r="AA12" s="40" t="s">
        <v>360</v>
      </c>
      <c r="AB12" s="40" t="s">
        <v>325</v>
      </c>
      <c r="AC12" s="40" t="s">
        <v>361</v>
      </c>
      <c r="AD12" s="44" t="s">
        <v>308</v>
      </c>
      <c r="AE12" s="44" t="s">
        <v>317</v>
      </c>
      <c r="AF12" s="44" t="s">
        <v>362</v>
      </c>
      <c r="AG12" s="44" t="s">
        <v>318</v>
      </c>
      <c r="AH12" s="51" t="s">
        <v>9</v>
      </c>
      <c r="AI12" s="46"/>
    </row>
    <row r="13" customFormat="false" ht="46.25" hidden="false" customHeight="false" outlineLevel="0" collapsed="false">
      <c r="A13" s="49" t="s">
        <v>363</v>
      </c>
      <c r="B13" s="50" t="s">
        <v>131</v>
      </c>
      <c r="C13" s="38" t="n">
        <f aca="false">IF(OR($R13="All",$R13="Not specified",ISNUMBER(SEARCH("K (",$R13))),$P13,1)</f>
        <v>0.51</v>
      </c>
      <c r="D13" s="38" t="n">
        <f aca="false">IF(OR($R13="All",$R13="Not specified",ISNUMBER(SEARCH("A (",$R13))),$P13,1)</f>
        <v>0.51</v>
      </c>
      <c r="E13" s="38" t="n">
        <f aca="false">IF(OR($R13="All",$R13="Not specified",ISNUMBER(SEARCH("B (",$R13))),$P13,1)</f>
        <v>0.51</v>
      </c>
      <c r="F13" s="38" t="n">
        <f aca="false">IF(OR($R13="All",$R13="Not specified",ISNUMBER(SEARCH("C (",$R13))),$P13,1)</f>
        <v>0.51</v>
      </c>
      <c r="G13" s="38" t="n">
        <f aca="false">IF(OR($R13="All",$R13="Not specified",ISNUMBER(SEARCH("O (",$R13))),$P13,1)</f>
        <v>0.51</v>
      </c>
      <c r="H13" s="39" t="n">
        <v>20</v>
      </c>
      <c r="I13" s="40"/>
      <c r="J13" s="40"/>
      <c r="K13" s="40"/>
      <c r="L13" s="40" t="s">
        <v>364</v>
      </c>
      <c r="M13" s="41" t="s">
        <v>298</v>
      </c>
      <c r="N13" s="39" t="n">
        <v>4</v>
      </c>
      <c r="O13" s="40" t="s">
        <v>67</v>
      </c>
      <c r="P13" s="42" t="n">
        <v>0.51</v>
      </c>
      <c r="Q13" s="43" t="n">
        <f aca="false">IF(ISNUMBER(P13),ROUND((1-P13)*100,1),"NR")</f>
        <v>49</v>
      </c>
      <c r="R13" s="40" t="s">
        <v>72</v>
      </c>
      <c r="S13" s="40" t="s">
        <v>72</v>
      </c>
      <c r="T13" s="40" t="s">
        <v>72</v>
      </c>
      <c r="U13" s="39" t="n">
        <v>10</v>
      </c>
      <c r="V13" s="39" t="n">
        <v>92462</v>
      </c>
      <c r="W13" s="39" t="n">
        <f aca="false">IF(AND(ISNUMBER(U13),ISNUMBER(V13)),ROUND((U13+V13)/2,0),IF(ISNUMBER(U13),U13,IF(ISNUMBER(V13),V13,"NR")))</f>
        <v>46236</v>
      </c>
      <c r="X13" s="40" t="s">
        <v>302</v>
      </c>
      <c r="Y13" s="40" t="s">
        <v>301</v>
      </c>
      <c r="Z13" s="40" t="s">
        <v>304</v>
      </c>
      <c r="AA13" s="40" t="s">
        <v>365</v>
      </c>
      <c r="AB13" s="40" t="s">
        <v>325</v>
      </c>
      <c r="AC13" s="40" t="s">
        <v>366</v>
      </c>
      <c r="AD13" s="44" t="s">
        <v>308</v>
      </c>
      <c r="AE13" s="44" t="s">
        <v>317</v>
      </c>
      <c r="AF13" s="44" t="s">
        <v>310</v>
      </c>
      <c r="AG13" s="44" t="s">
        <v>367</v>
      </c>
      <c r="AH13" s="45" t="s">
        <v>11</v>
      </c>
      <c r="AI13" s="46" t="s">
        <v>12</v>
      </c>
    </row>
    <row r="14" customFormat="false" ht="23.85" hidden="false" customHeight="false" outlineLevel="0" collapsed="false">
      <c r="A14" s="49" t="s">
        <v>368</v>
      </c>
      <c r="B14" s="50" t="s">
        <v>131</v>
      </c>
      <c r="C14" s="38" t="n">
        <f aca="false">IF(OR($R14="All",$R14="Not specified",ISNUMBER(SEARCH("K (",$R14))),$P14,1)</f>
        <v>0.37</v>
      </c>
      <c r="D14" s="38" t="n">
        <f aca="false">IF(OR($R14="All",$R14="Not specified",ISNUMBER(SEARCH("A (",$R14))),$P14,1)</f>
        <v>0.37</v>
      </c>
      <c r="E14" s="38" t="n">
        <f aca="false">IF(OR($R14="All",$R14="Not specified",ISNUMBER(SEARCH("B (",$R14))),$P14,1)</f>
        <v>0.37</v>
      </c>
      <c r="F14" s="38" t="n">
        <f aca="false">IF(OR($R14="All",$R14="Not specified",ISNUMBER(SEARCH("C (",$R14))),$P14,1)</f>
        <v>0.37</v>
      </c>
      <c r="G14" s="38" t="n">
        <f aca="false">IF(OR($R14="All",$R14="Not specified",ISNUMBER(SEARCH("O (",$R14))),$P14,1)</f>
        <v>0.37</v>
      </c>
      <c r="H14" s="39" t="n">
        <v>20</v>
      </c>
      <c r="I14" s="40"/>
      <c r="J14" s="40"/>
      <c r="K14" s="40"/>
      <c r="L14" s="40" t="s">
        <v>369</v>
      </c>
      <c r="M14" s="47" t="s">
        <v>329</v>
      </c>
      <c r="N14" s="39" t="n">
        <v>4</v>
      </c>
      <c r="O14" s="40" t="s">
        <v>370</v>
      </c>
      <c r="P14" s="42" t="n">
        <v>0.37</v>
      </c>
      <c r="Q14" s="43" t="n">
        <f aca="false">IF(ISNUMBER(P14),ROUND((1-P14)*100,1),"NR")</f>
        <v>63</v>
      </c>
      <c r="R14" s="40" t="s">
        <v>72</v>
      </c>
      <c r="S14" s="40" t="s">
        <v>359</v>
      </c>
      <c r="T14" s="40" t="s">
        <v>371</v>
      </c>
      <c r="U14" s="39" t="s">
        <v>301</v>
      </c>
      <c r="V14" s="39" t="s">
        <v>301</v>
      </c>
      <c r="W14" s="39" t="str">
        <f aca="false">IF(AND(ISNUMBER(U14),ISNUMBER(V14)),ROUND((U14+V14)/2,0),IF(ISNUMBER(U14),U14,IF(ISNUMBER(V14),V14,"NR")))</f>
        <v>NR</v>
      </c>
      <c r="X14" s="40" t="s">
        <v>302</v>
      </c>
      <c r="Y14" s="40" t="s">
        <v>301</v>
      </c>
      <c r="Z14" s="40" t="s">
        <v>304</v>
      </c>
      <c r="AA14" s="40" t="s">
        <v>365</v>
      </c>
      <c r="AB14" s="40" t="s">
        <v>372</v>
      </c>
      <c r="AC14" s="40"/>
      <c r="AD14" s="44" t="s">
        <v>308</v>
      </c>
      <c r="AE14" s="44" t="s">
        <v>317</v>
      </c>
      <c r="AF14" s="44" t="s">
        <v>362</v>
      </c>
      <c r="AG14" s="44" t="s">
        <v>318</v>
      </c>
      <c r="AH14" s="51" t="s">
        <v>9</v>
      </c>
      <c r="AI14" s="46"/>
    </row>
    <row r="15" customFormat="false" ht="23.85" hidden="false" customHeight="false" outlineLevel="0" collapsed="false">
      <c r="A15" s="49" t="s">
        <v>373</v>
      </c>
      <c r="B15" s="50" t="s">
        <v>131</v>
      </c>
      <c r="C15" s="38" t="n">
        <f aca="false">IF(OR($R15="All",$R15="Not specified",ISNUMBER(SEARCH("K (",$R15))),$P15,1)</f>
        <v>0.441</v>
      </c>
      <c r="D15" s="38" t="n">
        <f aca="false">IF(OR($R15="All",$R15="Not specified",ISNUMBER(SEARCH("A (",$R15))),$P15,1)</f>
        <v>0.441</v>
      </c>
      <c r="E15" s="38" t="n">
        <f aca="false">IF(OR($R15="All",$R15="Not specified",ISNUMBER(SEARCH("B (",$R15))),$P15,1)</f>
        <v>0.441</v>
      </c>
      <c r="F15" s="38" t="n">
        <f aca="false">IF(OR($R15="All",$R15="Not specified",ISNUMBER(SEARCH("C (",$R15))),$P15,1)</f>
        <v>0.441</v>
      </c>
      <c r="G15" s="38" t="n">
        <f aca="false">IF(OR($R15="All",$R15="Not specified",ISNUMBER(SEARCH("O (",$R15))),$P15,1)</f>
        <v>0.441</v>
      </c>
      <c r="H15" s="39" t="n">
        <v>20</v>
      </c>
      <c r="I15" s="40"/>
      <c r="J15" s="40"/>
      <c r="K15" s="40"/>
      <c r="L15" s="40" t="s">
        <v>374</v>
      </c>
      <c r="M15" s="47" t="s">
        <v>329</v>
      </c>
      <c r="N15" s="39" t="n">
        <v>4</v>
      </c>
      <c r="O15" s="40" t="s">
        <v>67</v>
      </c>
      <c r="P15" s="42" t="n">
        <v>0.441</v>
      </c>
      <c r="Q15" s="43" t="n">
        <f aca="false">IF(ISNUMBER(P15),ROUND((1-P15)*100,1),"NR")</f>
        <v>55.9</v>
      </c>
      <c r="R15" s="40" t="s">
        <v>72</v>
      </c>
      <c r="S15" s="40" t="s">
        <v>359</v>
      </c>
      <c r="T15" s="40" t="s">
        <v>321</v>
      </c>
      <c r="U15" s="39" t="s">
        <v>301</v>
      </c>
      <c r="V15" s="39" t="s">
        <v>301</v>
      </c>
      <c r="W15" s="39" t="str">
        <f aca="false">IF(AND(ISNUMBER(U15),ISNUMBER(V15)),ROUND((U15+V15)/2,0),IF(ISNUMBER(U15),U15,IF(ISNUMBER(V15),V15,"NR")))</f>
        <v>NR</v>
      </c>
      <c r="X15" s="40" t="s">
        <v>302</v>
      </c>
      <c r="Y15" s="40" t="s">
        <v>301</v>
      </c>
      <c r="Z15" s="40" t="s">
        <v>304</v>
      </c>
      <c r="AA15" s="40" t="s">
        <v>360</v>
      </c>
      <c r="AB15" s="40" t="s">
        <v>325</v>
      </c>
      <c r="AC15" s="40" t="s">
        <v>361</v>
      </c>
      <c r="AD15" s="44" t="s">
        <v>308</v>
      </c>
      <c r="AE15" s="44" t="s">
        <v>317</v>
      </c>
      <c r="AF15" s="44" t="s">
        <v>362</v>
      </c>
      <c r="AG15" s="44" t="s">
        <v>318</v>
      </c>
      <c r="AH15" s="51" t="s">
        <v>9</v>
      </c>
      <c r="AI15" s="46"/>
    </row>
    <row r="16" customFormat="false" ht="23.85" hidden="false" customHeight="false" outlineLevel="0" collapsed="false">
      <c r="A16" s="49" t="s">
        <v>375</v>
      </c>
      <c r="B16" s="50" t="s">
        <v>131</v>
      </c>
      <c r="C16" s="38" t="n">
        <f aca="false">IF(OR($R16="All",$R16="Not specified",ISNUMBER(SEARCH("K (",$R16))),$P16,1)</f>
        <v>0.456</v>
      </c>
      <c r="D16" s="38" t="n">
        <f aca="false">IF(OR($R16="All",$R16="Not specified",ISNUMBER(SEARCH("A (",$R16))),$P16,1)</f>
        <v>0.456</v>
      </c>
      <c r="E16" s="38" t="n">
        <f aca="false">IF(OR($R16="All",$R16="Not specified",ISNUMBER(SEARCH("B (",$R16))),$P16,1)</f>
        <v>0.456</v>
      </c>
      <c r="F16" s="38" t="n">
        <f aca="false">IF(OR($R16="All",$R16="Not specified",ISNUMBER(SEARCH("C (",$R16))),$P16,1)</f>
        <v>0.456</v>
      </c>
      <c r="G16" s="38" t="n">
        <f aca="false">IF(OR($R16="All",$R16="Not specified",ISNUMBER(SEARCH("O (",$R16))),$P16,1)</f>
        <v>0.456</v>
      </c>
      <c r="H16" s="39" t="n">
        <v>20</v>
      </c>
      <c r="I16" s="40"/>
      <c r="J16" s="40"/>
      <c r="K16" s="40"/>
      <c r="L16" s="40" t="s">
        <v>376</v>
      </c>
      <c r="M16" s="47" t="s">
        <v>329</v>
      </c>
      <c r="N16" s="39" t="n">
        <v>4</v>
      </c>
      <c r="O16" s="40" t="s">
        <v>72</v>
      </c>
      <c r="P16" s="42" t="n">
        <v>0.456</v>
      </c>
      <c r="Q16" s="43" t="n">
        <f aca="false">IF(ISNUMBER(P16),ROUND((1-P16)*100,1),"NR")</f>
        <v>54.4</v>
      </c>
      <c r="R16" s="40" t="s">
        <v>72</v>
      </c>
      <c r="S16" s="40" t="s">
        <v>72</v>
      </c>
      <c r="T16" s="40" t="s">
        <v>321</v>
      </c>
      <c r="U16" s="39" t="n">
        <v>2678</v>
      </c>
      <c r="V16" s="39" t="n">
        <v>46640</v>
      </c>
      <c r="W16" s="39" t="n">
        <f aca="false">IF(AND(ISNUMBER(U16),ISNUMBER(V16)),ROUND((U16+V16)/2,0),IF(ISNUMBER(U16),U16,IF(ISNUMBER(V16),V16,"NR")))</f>
        <v>24659</v>
      </c>
      <c r="X16" s="40" t="s">
        <v>377</v>
      </c>
      <c r="Y16" s="40" t="s">
        <v>301</v>
      </c>
      <c r="Z16" s="40" t="s">
        <v>304</v>
      </c>
      <c r="AA16" s="40" t="s">
        <v>360</v>
      </c>
      <c r="AB16" s="40" t="s">
        <v>325</v>
      </c>
      <c r="AC16" s="40" t="s">
        <v>378</v>
      </c>
      <c r="AD16" s="44" t="s">
        <v>308</v>
      </c>
      <c r="AE16" s="44" t="s">
        <v>317</v>
      </c>
      <c r="AF16" s="44" t="s">
        <v>310</v>
      </c>
      <c r="AG16" s="44" t="s">
        <v>379</v>
      </c>
      <c r="AH16" s="45" t="s">
        <v>11</v>
      </c>
      <c r="AI16" s="46" t="s">
        <v>12</v>
      </c>
    </row>
    <row r="17" customFormat="false" ht="23.85" hidden="false" customHeight="false" outlineLevel="0" collapsed="false">
      <c r="A17" s="49" t="s">
        <v>380</v>
      </c>
      <c r="B17" s="50" t="s">
        <v>131</v>
      </c>
      <c r="C17" s="38" t="n">
        <f aca="false">IF(OR($R17="All",$R17="Not specified",ISNUMBER(SEARCH("K (",$R17))),$P17,1)</f>
        <v>0.498</v>
      </c>
      <c r="D17" s="38" t="n">
        <f aca="false">IF(OR($R17="All",$R17="Not specified",ISNUMBER(SEARCH("A (",$R17))),$P17,1)</f>
        <v>0.498</v>
      </c>
      <c r="E17" s="38" t="n">
        <f aca="false">IF(OR($R17="All",$R17="Not specified",ISNUMBER(SEARCH("B (",$R17))),$P17,1)</f>
        <v>0.498</v>
      </c>
      <c r="F17" s="38" t="n">
        <f aca="false">IF(OR($R17="All",$R17="Not specified",ISNUMBER(SEARCH("C (",$R17))),$P17,1)</f>
        <v>0.498</v>
      </c>
      <c r="G17" s="38" t="n">
        <f aca="false">IF(OR($R17="All",$R17="Not specified",ISNUMBER(SEARCH("O (",$R17))),$P17,1)</f>
        <v>0.498</v>
      </c>
      <c r="H17" s="39" t="n">
        <v>20</v>
      </c>
      <c r="I17" s="40"/>
      <c r="J17" s="40"/>
      <c r="K17" s="40"/>
      <c r="L17" s="40" t="s">
        <v>381</v>
      </c>
      <c r="M17" s="47" t="s">
        <v>329</v>
      </c>
      <c r="N17" s="39" t="n">
        <v>4</v>
      </c>
      <c r="O17" s="40" t="s">
        <v>67</v>
      </c>
      <c r="P17" s="42" t="n">
        <v>0.498</v>
      </c>
      <c r="Q17" s="43" t="n">
        <f aca="false">IF(ISNUMBER(P17),ROUND((1-P17)*100,1),"NR")</f>
        <v>50.2</v>
      </c>
      <c r="R17" s="40" t="s">
        <v>72</v>
      </c>
      <c r="S17" s="40" t="s">
        <v>359</v>
      </c>
      <c r="T17" s="40" t="s">
        <v>321</v>
      </c>
      <c r="U17" s="39" t="s">
        <v>301</v>
      </c>
      <c r="V17" s="39" t="s">
        <v>301</v>
      </c>
      <c r="W17" s="39" t="str">
        <f aca="false">IF(AND(ISNUMBER(U17),ISNUMBER(V17)),ROUND((U17+V17)/2,0),IF(ISNUMBER(U17),U17,IF(ISNUMBER(V17),V17,"NR")))</f>
        <v>NR</v>
      </c>
      <c r="X17" s="40" t="s">
        <v>302</v>
      </c>
      <c r="Y17" s="40" t="s">
        <v>301</v>
      </c>
      <c r="Z17" s="40" t="s">
        <v>304</v>
      </c>
      <c r="AA17" s="40" t="s">
        <v>360</v>
      </c>
      <c r="AB17" s="40" t="s">
        <v>325</v>
      </c>
      <c r="AC17" s="40" t="s">
        <v>361</v>
      </c>
      <c r="AD17" s="44" t="s">
        <v>308</v>
      </c>
      <c r="AE17" s="44" t="s">
        <v>317</v>
      </c>
      <c r="AF17" s="44" t="s">
        <v>362</v>
      </c>
      <c r="AG17" s="44" t="s">
        <v>318</v>
      </c>
      <c r="AH17" s="51" t="s">
        <v>9</v>
      </c>
      <c r="AI17" s="46"/>
    </row>
    <row r="18" customFormat="false" ht="23.85" hidden="false" customHeight="false" outlineLevel="0" collapsed="false">
      <c r="A18" s="49" t="s">
        <v>382</v>
      </c>
      <c r="B18" s="50" t="s">
        <v>131</v>
      </c>
      <c r="C18" s="38" t="n">
        <f aca="false">IF(OR($R18="All",$R18="Not specified",ISNUMBER(SEARCH("K (",$R18))),$P18,1)</f>
        <v>0.567</v>
      </c>
      <c r="D18" s="38" t="n">
        <f aca="false">IF(OR($R18="All",$R18="Not specified",ISNUMBER(SEARCH("A (",$R18))),$P18,1)</f>
        <v>0.567</v>
      </c>
      <c r="E18" s="38" t="n">
        <f aca="false">IF(OR($R18="All",$R18="Not specified",ISNUMBER(SEARCH("B (",$R18))),$P18,1)</f>
        <v>0.567</v>
      </c>
      <c r="F18" s="38" t="n">
        <f aca="false">IF(OR($R18="All",$R18="Not specified",ISNUMBER(SEARCH("C (",$R18))),$P18,1)</f>
        <v>0.567</v>
      </c>
      <c r="G18" s="38" t="n">
        <f aca="false">IF(OR($R18="All",$R18="Not specified",ISNUMBER(SEARCH("O (",$R18))),$P18,1)</f>
        <v>0.567</v>
      </c>
      <c r="H18" s="39" t="n">
        <v>20</v>
      </c>
      <c r="I18" s="40"/>
      <c r="J18" s="40"/>
      <c r="K18" s="40"/>
      <c r="L18" s="40" t="s">
        <v>383</v>
      </c>
      <c r="M18" s="47" t="s">
        <v>329</v>
      </c>
      <c r="N18" s="39" t="n">
        <v>4</v>
      </c>
      <c r="O18" s="40" t="s">
        <v>67</v>
      </c>
      <c r="P18" s="42" t="n">
        <v>0.567</v>
      </c>
      <c r="Q18" s="43" t="n">
        <f aca="false">IF(ISNUMBER(P18),ROUND((1-P18)*100,1),"NR")</f>
        <v>43.3</v>
      </c>
      <c r="R18" s="40" t="s">
        <v>72</v>
      </c>
      <c r="S18" s="40" t="s">
        <v>359</v>
      </c>
      <c r="T18" s="40" t="s">
        <v>321</v>
      </c>
      <c r="U18" s="39" t="s">
        <v>301</v>
      </c>
      <c r="V18" s="39" t="s">
        <v>301</v>
      </c>
      <c r="W18" s="39" t="str">
        <f aca="false">IF(AND(ISNUMBER(U18),ISNUMBER(V18)),ROUND((U18+V18)/2,0),IF(ISNUMBER(U18),U18,IF(ISNUMBER(V18),V18,"NR")))</f>
        <v>NR</v>
      </c>
      <c r="X18" s="40" t="s">
        <v>302</v>
      </c>
      <c r="Y18" s="40" t="s">
        <v>301</v>
      </c>
      <c r="Z18" s="40" t="s">
        <v>304</v>
      </c>
      <c r="AA18" s="40" t="s">
        <v>360</v>
      </c>
      <c r="AB18" s="40" t="s">
        <v>325</v>
      </c>
      <c r="AC18" s="40" t="s">
        <v>384</v>
      </c>
      <c r="AD18" s="44" t="s">
        <v>308</v>
      </c>
      <c r="AE18" s="44" t="s">
        <v>317</v>
      </c>
      <c r="AF18" s="44" t="s">
        <v>362</v>
      </c>
      <c r="AG18" s="44" t="s">
        <v>318</v>
      </c>
      <c r="AH18" s="51" t="s">
        <v>9</v>
      </c>
      <c r="AI18" s="46"/>
    </row>
    <row r="19" customFormat="false" ht="46.25" hidden="false" customHeight="false" outlineLevel="0" collapsed="false">
      <c r="A19" s="49" t="s">
        <v>363</v>
      </c>
      <c r="B19" s="50" t="s">
        <v>131</v>
      </c>
      <c r="C19" s="38" t="n">
        <f aca="false">IF(OR($R19="All",$R19="Not specified",ISNUMBER(SEARCH("K (",$R19))),$P19,1)</f>
        <v>0.571</v>
      </c>
      <c r="D19" s="38" t="n">
        <f aca="false">IF(OR($R19="All",$R19="Not specified",ISNUMBER(SEARCH("A (",$R19))),$P19,1)</f>
        <v>0.571</v>
      </c>
      <c r="E19" s="38" t="n">
        <f aca="false">IF(OR($R19="All",$R19="Not specified",ISNUMBER(SEARCH("B (",$R19))),$P19,1)</f>
        <v>0.571</v>
      </c>
      <c r="F19" s="38" t="n">
        <f aca="false">IF(OR($R19="All",$R19="Not specified",ISNUMBER(SEARCH("C (",$R19))),$P19,1)</f>
        <v>0.571</v>
      </c>
      <c r="G19" s="38" t="n">
        <f aca="false">IF(OR($R19="All",$R19="Not specified",ISNUMBER(SEARCH("O (",$R19))),$P19,1)</f>
        <v>1</v>
      </c>
      <c r="H19" s="39" t="n">
        <v>20</v>
      </c>
      <c r="I19" s="40"/>
      <c r="J19" s="40"/>
      <c r="K19" s="40"/>
      <c r="L19" s="40" t="s">
        <v>385</v>
      </c>
      <c r="M19" s="47" t="s">
        <v>329</v>
      </c>
      <c r="N19" s="39" t="n">
        <v>4</v>
      </c>
      <c r="O19" s="40" t="s">
        <v>72</v>
      </c>
      <c r="P19" s="42" t="n">
        <v>0.571</v>
      </c>
      <c r="Q19" s="43" t="n">
        <f aca="false">IF(ISNUMBER(P19),ROUND((1-P19)*100,1),"NR")</f>
        <v>42.9</v>
      </c>
      <c r="R19" s="40" t="s">
        <v>330</v>
      </c>
      <c r="S19" s="40" t="s">
        <v>72</v>
      </c>
      <c r="T19" s="40" t="s">
        <v>321</v>
      </c>
      <c r="U19" s="39" t="n">
        <v>2678</v>
      </c>
      <c r="V19" s="39" t="n">
        <v>46640</v>
      </c>
      <c r="W19" s="39" t="n">
        <f aca="false">IF(AND(ISNUMBER(U19),ISNUMBER(V19)),ROUND((U19+V19)/2,0),IF(ISNUMBER(U19),U19,IF(ISNUMBER(V19),V19,"NR")))</f>
        <v>24659</v>
      </c>
      <c r="X19" s="40" t="s">
        <v>377</v>
      </c>
      <c r="Y19" s="40" t="s">
        <v>301</v>
      </c>
      <c r="Z19" s="40" t="s">
        <v>304</v>
      </c>
      <c r="AA19" s="40" t="s">
        <v>360</v>
      </c>
      <c r="AB19" s="40" t="s">
        <v>325</v>
      </c>
      <c r="AC19" s="40" t="s">
        <v>386</v>
      </c>
      <c r="AD19" s="44" t="s">
        <v>308</v>
      </c>
      <c r="AE19" s="44" t="s">
        <v>309</v>
      </c>
      <c r="AF19" s="44" t="s">
        <v>310</v>
      </c>
      <c r="AG19" s="44" t="s">
        <v>379</v>
      </c>
      <c r="AH19" s="45" t="s">
        <v>11</v>
      </c>
      <c r="AI19" s="46" t="s">
        <v>12</v>
      </c>
    </row>
    <row r="20" customFormat="false" ht="35.05" hidden="false" customHeight="false" outlineLevel="0" collapsed="false">
      <c r="A20" s="49" t="s">
        <v>387</v>
      </c>
      <c r="B20" s="50" t="s">
        <v>135</v>
      </c>
      <c r="C20" s="38" t="n">
        <f aca="false">IF(OR($R20="All",$R20="Not specified",ISNUMBER(SEARCH("K (",$R20))),$P20,1)</f>
        <v>0.6</v>
      </c>
      <c r="D20" s="38" t="n">
        <f aca="false">IF(OR($R20="All",$R20="Not specified",ISNUMBER(SEARCH("A (",$R20))),$P20,1)</f>
        <v>0.6</v>
      </c>
      <c r="E20" s="38" t="n">
        <f aca="false">IF(OR($R20="All",$R20="Not specified",ISNUMBER(SEARCH("B (",$R20))),$P20,1)</f>
        <v>0.6</v>
      </c>
      <c r="F20" s="38" t="n">
        <f aca="false">IF(OR($R20="All",$R20="Not specified",ISNUMBER(SEARCH("C (",$R20))),$P20,1)</f>
        <v>0.6</v>
      </c>
      <c r="G20" s="38" t="n">
        <f aca="false">IF(OR($R20="All",$R20="Not specified",ISNUMBER(SEARCH("O (",$R20))),$P20,1)</f>
        <v>0.6</v>
      </c>
      <c r="H20" s="39" t="n">
        <v>20</v>
      </c>
      <c r="I20" s="40"/>
      <c r="J20" s="40"/>
      <c r="K20" s="40"/>
      <c r="L20" s="40" t="s">
        <v>388</v>
      </c>
      <c r="M20" s="41" t="s">
        <v>298</v>
      </c>
      <c r="N20" s="39" t="n">
        <v>2</v>
      </c>
      <c r="O20" s="40" t="s">
        <v>67</v>
      </c>
      <c r="P20" s="42" t="n">
        <v>0.6</v>
      </c>
      <c r="Q20" s="43" t="n">
        <f aca="false">IF(ISNUMBER(P20),ROUND((1-P20)*100,1),"NR")</f>
        <v>40</v>
      </c>
      <c r="R20" s="40" t="s">
        <v>72</v>
      </c>
      <c r="S20" s="40" t="s">
        <v>389</v>
      </c>
      <c r="T20" s="40" t="s">
        <v>371</v>
      </c>
      <c r="U20" s="39" t="s">
        <v>301</v>
      </c>
      <c r="V20" s="39" t="s">
        <v>301</v>
      </c>
      <c r="W20" s="39" t="str">
        <f aca="false">IF(AND(ISNUMBER(U20),ISNUMBER(V20)),ROUND((U20+V20)/2,0),IF(ISNUMBER(U20),U20,IF(ISNUMBER(V20),V20,"NR")))</f>
        <v>NR</v>
      </c>
      <c r="X20" s="40" t="s">
        <v>377</v>
      </c>
      <c r="Y20" s="40" t="s">
        <v>301</v>
      </c>
      <c r="Z20" s="40" t="s">
        <v>304</v>
      </c>
      <c r="AA20" s="40" t="s">
        <v>390</v>
      </c>
      <c r="AB20" s="40" t="s">
        <v>391</v>
      </c>
      <c r="AC20" s="40" t="s">
        <v>392</v>
      </c>
      <c r="AD20" s="44" t="s">
        <v>308</v>
      </c>
      <c r="AE20" s="44" t="s">
        <v>317</v>
      </c>
      <c r="AF20" s="44" t="s">
        <v>393</v>
      </c>
      <c r="AG20" s="44" t="s">
        <v>318</v>
      </c>
      <c r="AH20" s="51" t="s">
        <v>9</v>
      </c>
      <c r="AI20" s="46"/>
    </row>
    <row r="21" customFormat="false" ht="35.05" hidden="false" customHeight="false" outlineLevel="0" collapsed="false">
      <c r="A21" s="49" t="s">
        <v>394</v>
      </c>
      <c r="B21" s="50" t="s">
        <v>135</v>
      </c>
      <c r="C21" s="38" t="n">
        <f aca="false">IF(OR($R21="All",$R21="Not specified",ISNUMBER(SEARCH("K (",$R21))),$P21,1)</f>
        <v>1</v>
      </c>
      <c r="D21" s="38" t="n">
        <f aca="false">IF(OR($R21="All",$R21="Not specified",ISNUMBER(SEARCH("A (",$R21))),$P21,1)</f>
        <v>0.58</v>
      </c>
      <c r="E21" s="38" t="n">
        <f aca="false">IF(OR($R21="All",$R21="Not specified",ISNUMBER(SEARCH("B (",$R21))),$P21,1)</f>
        <v>0.58</v>
      </c>
      <c r="F21" s="38" t="n">
        <f aca="false">IF(OR($R21="All",$R21="Not specified",ISNUMBER(SEARCH("C (",$R21))),$P21,1)</f>
        <v>0.58</v>
      </c>
      <c r="G21" s="38" t="n">
        <f aca="false">IF(OR($R21="All",$R21="Not specified",ISNUMBER(SEARCH("O (",$R21))),$P21,1)</f>
        <v>1</v>
      </c>
      <c r="H21" s="39" t="n">
        <v>20</v>
      </c>
      <c r="I21" s="40"/>
      <c r="J21" s="40"/>
      <c r="K21" s="40"/>
      <c r="L21" s="40" t="s">
        <v>395</v>
      </c>
      <c r="M21" s="41" t="s">
        <v>298</v>
      </c>
      <c r="N21" s="39" t="n">
        <v>3</v>
      </c>
      <c r="O21" s="40" t="s">
        <v>371</v>
      </c>
      <c r="P21" s="42" t="n">
        <v>0.58</v>
      </c>
      <c r="Q21" s="43" t="n">
        <f aca="false">IF(ISNUMBER(P21),ROUND((1-P21)*100,1),"NR")</f>
        <v>42</v>
      </c>
      <c r="R21" s="40" t="s">
        <v>396</v>
      </c>
      <c r="S21" s="40" t="s">
        <v>397</v>
      </c>
      <c r="T21" s="40" t="s">
        <v>371</v>
      </c>
      <c r="U21" s="39" t="s">
        <v>301</v>
      </c>
      <c r="V21" s="39" t="s">
        <v>301</v>
      </c>
      <c r="W21" s="39" t="str">
        <f aca="false">IF(AND(ISNUMBER(U21),ISNUMBER(V21)),ROUND((U21+V21)/2,0),IF(ISNUMBER(U21),U21,IF(ISNUMBER(V21),V21,"NR")))</f>
        <v>NR</v>
      </c>
      <c r="X21" s="40" t="s">
        <v>377</v>
      </c>
      <c r="Y21" s="40" t="s">
        <v>301</v>
      </c>
      <c r="Z21" s="40" t="s">
        <v>398</v>
      </c>
      <c r="AA21" s="40" t="s">
        <v>337</v>
      </c>
      <c r="AB21" s="40" t="s">
        <v>399</v>
      </c>
      <c r="AC21" s="40" t="s">
        <v>400</v>
      </c>
      <c r="AD21" s="44" t="s">
        <v>308</v>
      </c>
      <c r="AE21" s="44" t="s">
        <v>309</v>
      </c>
      <c r="AF21" s="44" t="s">
        <v>401</v>
      </c>
      <c r="AG21" s="44" t="s">
        <v>318</v>
      </c>
      <c r="AH21" s="48" t="s">
        <v>13</v>
      </c>
      <c r="AI21" s="46" t="s">
        <v>402</v>
      </c>
    </row>
    <row r="22" customFormat="false" ht="35.05" hidden="false" customHeight="false" outlineLevel="0" collapsed="false">
      <c r="A22" s="49" t="s">
        <v>403</v>
      </c>
      <c r="B22" s="50" t="s">
        <v>135</v>
      </c>
      <c r="C22" s="38" t="n">
        <f aca="false">IF(OR($R22="All",$R22="Not specified",ISNUMBER(SEARCH("K (",$R22))),$P22,1)</f>
        <v>0.63</v>
      </c>
      <c r="D22" s="38" t="n">
        <f aca="false">IF(OR($R22="All",$R22="Not specified",ISNUMBER(SEARCH("A (",$R22))),$P22,1)</f>
        <v>0.63</v>
      </c>
      <c r="E22" s="38" t="n">
        <f aca="false">IF(OR($R22="All",$R22="Not specified",ISNUMBER(SEARCH("B (",$R22))),$P22,1)</f>
        <v>0.63</v>
      </c>
      <c r="F22" s="38" t="n">
        <f aca="false">IF(OR($R22="All",$R22="Not specified",ISNUMBER(SEARCH("C (",$R22))),$P22,1)</f>
        <v>0.63</v>
      </c>
      <c r="G22" s="38" t="n">
        <f aca="false">IF(OR($R22="All",$R22="Not specified",ISNUMBER(SEARCH("O (",$R22))),$P22,1)</f>
        <v>0.63</v>
      </c>
      <c r="H22" s="39" t="n">
        <v>20</v>
      </c>
      <c r="I22" s="40"/>
      <c r="J22" s="40"/>
      <c r="K22" s="40"/>
      <c r="L22" s="40" t="s">
        <v>404</v>
      </c>
      <c r="M22" s="47" t="s">
        <v>329</v>
      </c>
      <c r="N22" s="39" t="n">
        <v>4</v>
      </c>
      <c r="O22" s="40" t="s">
        <v>67</v>
      </c>
      <c r="P22" s="42" t="n">
        <v>0.63</v>
      </c>
      <c r="Q22" s="43" t="n">
        <f aca="false">IF(ISNUMBER(P22),ROUND((1-P22)*100,1),"NR")</f>
        <v>37</v>
      </c>
      <c r="R22" s="40" t="s">
        <v>72</v>
      </c>
      <c r="S22" s="40" t="s">
        <v>389</v>
      </c>
      <c r="T22" s="40" t="s">
        <v>371</v>
      </c>
      <c r="U22" s="39" t="n">
        <v>567</v>
      </c>
      <c r="V22" s="39" t="n">
        <v>43199</v>
      </c>
      <c r="W22" s="39" t="n">
        <f aca="false">IF(AND(ISNUMBER(U22),ISNUMBER(V22)),ROUND((U22+V22)/2,0),IF(ISNUMBER(U22),U22,IF(ISNUMBER(V22),V22,"NR")))</f>
        <v>21883</v>
      </c>
      <c r="X22" s="40" t="s">
        <v>302</v>
      </c>
      <c r="Y22" s="40" t="s">
        <v>301</v>
      </c>
      <c r="Z22" s="40" t="s">
        <v>304</v>
      </c>
      <c r="AA22" s="40" t="s">
        <v>405</v>
      </c>
      <c r="AB22" s="40" t="s">
        <v>306</v>
      </c>
      <c r="AC22" s="40"/>
      <c r="AD22" s="44" t="s">
        <v>308</v>
      </c>
      <c r="AE22" s="44" t="s">
        <v>317</v>
      </c>
      <c r="AF22" s="44" t="s">
        <v>393</v>
      </c>
      <c r="AG22" s="44" t="s">
        <v>406</v>
      </c>
      <c r="AH22" s="51" t="s">
        <v>9</v>
      </c>
      <c r="AI22" s="46"/>
    </row>
    <row r="23" customFormat="false" ht="46.25" hidden="false" customHeight="false" outlineLevel="0" collapsed="false">
      <c r="A23" s="49" t="s">
        <v>407</v>
      </c>
      <c r="B23" s="50" t="s">
        <v>140</v>
      </c>
      <c r="C23" s="38" t="n">
        <f aca="false">IF(OR($R23="All",$R23="Not specified",ISNUMBER(SEARCH("K (",$R23))),$P23,1)</f>
        <v>0.87</v>
      </c>
      <c r="D23" s="38" t="n">
        <f aca="false">IF(OR($R23="All",$R23="Not specified",ISNUMBER(SEARCH("A (",$R23))),$P23,1)</f>
        <v>0.87</v>
      </c>
      <c r="E23" s="38" t="n">
        <f aca="false">IF(OR($R23="All",$R23="Not specified",ISNUMBER(SEARCH("B (",$R23))),$P23,1)</f>
        <v>0.87</v>
      </c>
      <c r="F23" s="38" t="n">
        <f aca="false">IF(OR($R23="All",$R23="Not specified",ISNUMBER(SEARCH("C (",$R23))),$P23,1)</f>
        <v>0.87</v>
      </c>
      <c r="G23" s="38" t="n">
        <f aca="false">IF(OR($R23="All",$R23="Not specified",ISNUMBER(SEARCH("O (",$R23))),$P23,1)</f>
        <v>0.87</v>
      </c>
      <c r="H23" s="39" t="n">
        <v>20</v>
      </c>
      <c r="I23" s="40"/>
      <c r="J23" s="40"/>
      <c r="K23" s="40"/>
      <c r="L23" s="40" t="s">
        <v>408</v>
      </c>
      <c r="M23" s="41" t="s">
        <v>298</v>
      </c>
      <c r="N23" s="39" t="n">
        <v>5</v>
      </c>
      <c r="O23" s="40" t="s">
        <v>370</v>
      </c>
      <c r="P23" s="42" t="n">
        <v>0.87</v>
      </c>
      <c r="Q23" s="43" t="n">
        <f aca="false">IF(ISNUMBER(P23),ROUND((1-P23)*100,1),"NR")</f>
        <v>13</v>
      </c>
      <c r="R23" s="40" t="s">
        <v>72</v>
      </c>
      <c r="S23" s="40" t="s">
        <v>389</v>
      </c>
      <c r="T23" s="40" t="s">
        <v>72</v>
      </c>
      <c r="U23" s="39" t="s">
        <v>301</v>
      </c>
      <c r="V23" s="39" t="s">
        <v>301</v>
      </c>
      <c r="W23" s="39" t="str">
        <f aca="false">IF(AND(ISNUMBER(U23),ISNUMBER(V23)),ROUND((U23+V23)/2,0),IF(ISNUMBER(U23),U23,IF(ISNUMBER(V23),V23,"NR")))</f>
        <v>NR</v>
      </c>
      <c r="X23" s="40" t="s">
        <v>377</v>
      </c>
      <c r="Y23" s="40" t="s">
        <v>301</v>
      </c>
      <c r="Z23" s="40" t="s">
        <v>304</v>
      </c>
      <c r="AA23" s="40" t="s">
        <v>305</v>
      </c>
      <c r="AB23" s="40" t="s">
        <v>306</v>
      </c>
      <c r="AC23" s="40" t="s">
        <v>409</v>
      </c>
      <c r="AD23" s="44" t="s">
        <v>308</v>
      </c>
      <c r="AE23" s="44" t="s">
        <v>317</v>
      </c>
      <c r="AF23" s="44" t="s">
        <v>393</v>
      </c>
      <c r="AG23" s="44" t="s">
        <v>318</v>
      </c>
      <c r="AH23" s="51" t="s">
        <v>9</v>
      </c>
      <c r="AI23" s="46"/>
    </row>
    <row r="24" customFormat="false" ht="46.25" hidden="false" customHeight="false" outlineLevel="0" collapsed="false">
      <c r="A24" s="49" t="s">
        <v>407</v>
      </c>
      <c r="B24" s="50" t="s">
        <v>140</v>
      </c>
      <c r="C24" s="38" t="n">
        <f aca="false">IF(OR($R24="All",$R24="Not specified",ISNUMBER(SEARCH("K (",$R24))),$P24,1)</f>
        <v>0.81</v>
      </c>
      <c r="D24" s="38" t="n">
        <f aca="false">IF(OR($R24="All",$R24="Not specified",ISNUMBER(SEARCH("A (",$R24))),$P24,1)</f>
        <v>0.81</v>
      </c>
      <c r="E24" s="38" t="n">
        <f aca="false">IF(OR($R24="All",$R24="Not specified",ISNUMBER(SEARCH("B (",$R24))),$P24,1)</f>
        <v>0.81</v>
      </c>
      <c r="F24" s="38" t="n">
        <f aca="false">IF(OR($R24="All",$R24="Not specified",ISNUMBER(SEARCH("C (",$R24))),$P24,1)</f>
        <v>0.81</v>
      </c>
      <c r="G24" s="38" t="n">
        <f aca="false">IF(OR($R24="All",$R24="Not specified",ISNUMBER(SEARCH("O (",$R24))),$P24,1)</f>
        <v>0.81</v>
      </c>
      <c r="H24" s="39" t="n">
        <v>20</v>
      </c>
      <c r="I24" s="40"/>
      <c r="J24" s="40"/>
      <c r="K24" s="40"/>
      <c r="L24" s="40" t="s">
        <v>410</v>
      </c>
      <c r="M24" s="47" t="s">
        <v>329</v>
      </c>
      <c r="N24" s="39" t="n">
        <v>5</v>
      </c>
      <c r="O24" s="40" t="s">
        <v>370</v>
      </c>
      <c r="P24" s="42" t="n">
        <v>0.81</v>
      </c>
      <c r="Q24" s="43" t="n">
        <f aca="false">IF(ISNUMBER(P24),ROUND((1-P24)*100,1),"NR")</f>
        <v>19</v>
      </c>
      <c r="R24" s="40" t="s">
        <v>72</v>
      </c>
      <c r="S24" s="40" t="s">
        <v>389</v>
      </c>
      <c r="T24" s="40" t="s">
        <v>72</v>
      </c>
      <c r="U24" s="39" t="n">
        <v>6650</v>
      </c>
      <c r="V24" s="39" t="n">
        <v>32363</v>
      </c>
      <c r="W24" s="39" t="n">
        <f aca="false">IF(AND(ISNUMBER(U24),ISNUMBER(V24)),ROUND((U24+V24)/2,0),IF(ISNUMBER(U24),U24,IF(ISNUMBER(V24),V24,"NR")))</f>
        <v>19507</v>
      </c>
      <c r="X24" s="40" t="s">
        <v>377</v>
      </c>
      <c r="Y24" s="40" t="s">
        <v>301</v>
      </c>
      <c r="Z24" s="40" t="s">
        <v>304</v>
      </c>
      <c r="AA24" s="40" t="s">
        <v>305</v>
      </c>
      <c r="AB24" s="40" t="s">
        <v>306</v>
      </c>
      <c r="AC24" s="40" t="s">
        <v>409</v>
      </c>
      <c r="AD24" s="44" t="s">
        <v>308</v>
      </c>
      <c r="AE24" s="44" t="s">
        <v>317</v>
      </c>
      <c r="AF24" s="44" t="s">
        <v>393</v>
      </c>
      <c r="AG24" s="44" t="s">
        <v>411</v>
      </c>
      <c r="AH24" s="51" t="s">
        <v>9</v>
      </c>
      <c r="AI24" s="46"/>
    </row>
    <row r="25" customFormat="false" ht="23.85" hidden="false" customHeight="false" outlineLevel="0" collapsed="false">
      <c r="A25" s="49" t="s">
        <v>412</v>
      </c>
      <c r="B25" s="50" t="s">
        <v>145</v>
      </c>
      <c r="C25" s="38" t="n">
        <f aca="false">IF(OR($R25="All",$R25="Not specified",ISNUMBER(SEARCH("K (",$R25))),$P25,1)</f>
        <v>0.54</v>
      </c>
      <c r="D25" s="38" t="n">
        <f aca="false">IF(OR($R25="All",$R25="Not specified",ISNUMBER(SEARCH("A (",$R25))),$P25,1)</f>
        <v>0.54</v>
      </c>
      <c r="E25" s="38" t="n">
        <f aca="false">IF(OR($R25="All",$R25="Not specified",ISNUMBER(SEARCH("B (",$R25))),$P25,1)</f>
        <v>0.54</v>
      </c>
      <c r="F25" s="38" t="n">
        <f aca="false">IF(OR($R25="All",$R25="Not specified",ISNUMBER(SEARCH("C (",$R25))),$P25,1)</f>
        <v>0.54</v>
      </c>
      <c r="G25" s="38" t="n">
        <f aca="false">IF(OR($R25="All",$R25="Not specified",ISNUMBER(SEARCH("O (",$R25))),$P25,1)</f>
        <v>0.54</v>
      </c>
      <c r="H25" s="39" t="n">
        <v>20</v>
      </c>
      <c r="I25" s="40"/>
      <c r="J25" s="40"/>
      <c r="K25" s="40"/>
      <c r="L25" s="40" t="s">
        <v>413</v>
      </c>
      <c r="M25" s="41" t="s">
        <v>298</v>
      </c>
      <c r="N25" s="39" t="n">
        <v>3</v>
      </c>
      <c r="O25" s="40" t="s">
        <v>414</v>
      </c>
      <c r="P25" s="42" t="n">
        <v>0.54</v>
      </c>
      <c r="Q25" s="43" t="n">
        <f aca="false">IF(ISNUMBER(P25),ROUND((1-P25)*100,1),"NR")</f>
        <v>46</v>
      </c>
      <c r="R25" s="40" t="s">
        <v>72</v>
      </c>
      <c r="S25" s="40" t="s">
        <v>389</v>
      </c>
      <c r="T25" s="40" t="s">
        <v>314</v>
      </c>
      <c r="U25" s="39" t="n">
        <v>15000</v>
      </c>
      <c r="V25" s="39" t="s">
        <v>301</v>
      </c>
      <c r="W25" s="39" t="n">
        <f aca="false">IF(AND(ISNUMBER(U25),ISNUMBER(V25)),ROUND((U25+V25)/2,0),IF(ISNUMBER(U25),U25,IF(ISNUMBER(V25),V25,"NR")))</f>
        <v>15000</v>
      </c>
      <c r="X25" s="40" t="s">
        <v>302</v>
      </c>
      <c r="Y25" s="40" t="s">
        <v>301</v>
      </c>
      <c r="Z25" s="40" t="s">
        <v>304</v>
      </c>
      <c r="AA25" s="40" t="s">
        <v>415</v>
      </c>
      <c r="AB25" s="40" t="s">
        <v>372</v>
      </c>
      <c r="AC25" s="40" t="s">
        <v>416</v>
      </c>
      <c r="AD25" s="44" t="s">
        <v>308</v>
      </c>
      <c r="AE25" s="44" t="s">
        <v>317</v>
      </c>
      <c r="AF25" s="44" t="s">
        <v>393</v>
      </c>
      <c r="AG25" s="44"/>
      <c r="AH25" s="51" t="s">
        <v>9</v>
      </c>
      <c r="AI25" s="46"/>
    </row>
    <row r="26" customFormat="false" ht="23.85" hidden="false" customHeight="false" outlineLevel="0" collapsed="false">
      <c r="A26" s="49" t="s">
        <v>417</v>
      </c>
      <c r="B26" s="50" t="s">
        <v>145</v>
      </c>
      <c r="C26" s="38" t="n">
        <f aca="false">IF(OR($R26="All",$R26="Not specified",ISNUMBER(SEARCH("K (",$R26))),$P26,1)</f>
        <v>0.685</v>
      </c>
      <c r="D26" s="38" t="n">
        <f aca="false">IF(OR($R26="All",$R26="Not specified",ISNUMBER(SEARCH("A (",$R26))),$P26,1)</f>
        <v>0.685</v>
      </c>
      <c r="E26" s="38" t="n">
        <f aca="false">IF(OR($R26="All",$R26="Not specified",ISNUMBER(SEARCH("B (",$R26))),$P26,1)</f>
        <v>0.685</v>
      </c>
      <c r="F26" s="38" t="n">
        <f aca="false">IF(OR($R26="All",$R26="Not specified",ISNUMBER(SEARCH("C (",$R26))),$P26,1)</f>
        <v>0.685</v>
      </c>
      <c r="G26" s="38" t="n">
        <f aca="false">IF(OR($R26="All",$R26="Not specified",ISNUMBER(SEARCH("O (",$R26))),$P26,1)</f>
        <v>0.685</v>
      </c>
      <c r="H26" s="39" t="n">
        <v>20</v>
      </c>
      <c r="I26" s="40"/>
      <c r="J26" s="40"/>
      <c r="K26" s="40"/>
      <c r="L26" s="40" t="s">
        <v>418</v>
      </c>
      <c r="M26" s="47" t="s">
        <v>329</v>
      </c>
      <c r="N26" s="39" t="n">
        <v>4</v>
      </c>
      <c r="O26" s="40" t="s">
        <v>370</v>
      </c>
      <c r="P26" s="42" t="n">
        <v>0.685</v>
      </c>
      <c r="Q26" s="43" t="n">
        <f aca="false">IF(ISNUMBER(P26),ROUND((1-P26)*100,1),"NR")</f>
        <v>31.5</v>
      </c>
      <c r="R26" s="40" t="s">
        <v>72</v>
      </c>
      <c r="S26" s="40" t="s">
        <v>389</v>
      </c>
      <c r="T26" s="40" t="s">
        <v>419</v>
      </c>
      <c r="U26" s="39" t="n">
        <v>1245</v>
      </c>
      <c r="V26" s="39" t="n">
        <v>46000</v>
      </c>
      <c r="W26" s="39" t="n">
        <f aca="false">IF(AND(ISNUMBER(U26),ISNUMBER(V26)),ROUND((U26+V26)/2,0),IF(ISNUMBER(U26),U26,IF(ISNUMBER(V26),V26,"NR")))</f>
        <v>23623</v>
      </c>
      <c r="X26" s="40" t="s">
        <v>302</v>
      </c>
      <c r="Y26" s="40" t="s">
        <v>301</v>
      </c>
      <c r="Z26" s="40" t="s">
        <v>304</v>
      </c>
      <c r="AA26" s="40" t="s">
        <v>365</v>
      </c>
      <c r="AB26" s="40" t="s">
        <v>399</v>
      </c>
      <c r="AC26" s="40" t="s">
        <v>420</v>
      </c>
      <c r="AD26" s="44" t="s">
        <v>308</v>
      </c>
      <c r="AE26" s="44" t="s">
        <v>317</v>
      </c>
      <c r="AF26" s="44" t="s">
        <v>393</v>
      </c>
      <c r="AG26" s="44" t="s">
        <v>421</v>
      </c>
      <c r="AH26" s="51" t="s">
        <v>9</v>
      </c>
      <c r="AI26" s="46"/>
    </row>
    <row r="27" customFormat="false" ht="23.85" hidden="false" customHeight="false" outlineLevel="0" collapsed="false">
      <c r="A27" s="49" t="s">
        <v>422</v>
      </c>
      <c r="B27" s="50" t="s">
        <v>145</v>
      </c>
      <c r="C27" s="38" t="n">
        <f aca="false">IF(OR($R27="All",$R27="Not specified",ISNUMBER(SEARCH("K (",$R27))),$P27,1)</f>
        <v>0.29</v>
      </c>
      <c r="D27" s="38" t="n">
        <f aca="false">IF(OR($R27="All",$R27="Not specified",ISNUMBER(SEARCH("A (",$R27))),$P27,1)</f>
        <v>0.29</v>
      </c>
      <c r="E27" s="38" t="n">
        <f aca="false">IF(OR($R27="All",$R27="Not specified",ISNUMBER(SEARCH("B (",$R27))),$P27,1)</f>
        <v>0.29</v>
      </c>
      <c r="F27" s="38" t="n">
        <f aca="false">IF(OR($R27="All",$R27="Not specified",ISNUMBER(SEARCH("C (",$R27))),$P27,1)</f>
        <v>0.29</v>
      </c>
      <c r="G27" s="38" t="n">
        <f aca="false">IF(OR($R27="All",$R27="Not specified",ISNUMBER(SEARCH("O (",$R27))),$P27,1)</f>
        <v>0.29</v>
      </c>
      <c r="H27" s="39" t="n">
        <v>20</v>
      </c>
      <c r="I27" s="40"/>
      <c r="J27" s="40"/>
      <c r="K27" s="40"/>
      <c r="L27" s="40" t="s">
        <v>423</v>
      </c>
      <c r="M27" s="47" t="s">
        <v>329</v>
      </c>
      <c r="N27" s="39" t="n">
        <v>4</v>
      </c>
      <c r="O27" s="40" t="s">
        <v>67</v>
      </c>
      <c r="P27" s="42" t="n">
        <v>0.29</v>
      </c>
      <c r="Q27" s="43" t="n">
        <f aca="false">IF(ISNUMBER(P27),ROUND((1-P27)*100,1),"NR")</f>
        <v>71</v>
      </c>
      <c r="R27" s="40" t="s">
        <v>72</v>
      </c>
      <c r="S27" s="40" t="s">
        <v>72</v>
      </c>
      <c r="T27" s="40" t="s">
        <v>314</v>
      </c>
      <c r="U27" s="39" t="n">
        <v>1390</v>
      </c>
      <c r="V27" s="39" t="n">
        <v>51200</v>
      </c>
      <c r="W27" s="39" t="n">
        <f aca="false">IF(AND(ISNUMBER(U27),ISNUMBER(V27)),ROUND((U27+V27)/2,0),IF(ISNUMBER(U27),U27,IF(ISNUMBER(V27),V27,"NR")))</f>
        <v>26295</v>
      </c>
      <c r="X27" s="40" t="s">
        <v>302</v>
      </c>
      <c r="Y27" s="40" t="s">
        <v>301</v>
      </c>
      <c r="Z27" s="40" t="s">
        <v>304</v>
      </c>
      <c r="AA27" s="40" t="s">
        <v>365</v>
      </c>
      <c r="AB27" s="40" t="s">
        <v>325</v>
      </c>
      <c r="AC27" s="40"/>
      <c r="AD27" s="44" t="s">
        <v>308</v>
      </c>
      <c r="AE27" s="44" t="s">
        <v>317</v>
      </c>
      <c r="AF27" s="44" t="s">
        <v>310</v>
      </c>
      <c r="AG27" s="44" t="s">
        <v>424</v>
      </c>
      <c r="AH27" s="45" t="s">
        <v>11</v>
      </c>
      <c r="AI27" s="46" t="s">
        <v>12</v>
      </c>
    </row>
    <row r="28" customFormat="false" ht="23.85" hidden="false" customHeight="false" outlineLevel="0" collapsed="false">
      <c r="A28" s="49" t="s">
        <v>425</v>
      </c>
      <c r="B28" s="50" t="s">
        <v>150</v>
      </c>
      <c r="C28" s="38" t="n">
        <f aca="false">IF(OR($R28="All",$R28="Not specified",ISNUMBER(SEARCH("K (",$R28))),$P28,1)</f>
        <v>0.453</v>
      </c>
      <c r="D28" s="38" t="n">
        <f aca="false">IF(OR($R28="All",$R28="Not specified",ISNUMBER(SEARCH("A (",$R28))),$P28,1)</f>
        <v>0.453</v>
      </c>
      <c r="E28" s="38" t="n">
        <f aca="false">IF(OR($R28="All",$R28="Not specified",ISNUMBER(SEARCH("B (",$R28))),$P28,1)</f>
        <v>0.453</v>
      </c>
      <c r="F28" s="38" t="n">
        <f aca="false">IF(OR($R28="All",$R28="Not specified",ISNUMBER(SEARCH("C (",$R28))),$P28,1)</f>
        <v>0.453</v>
      </c>
      <c r="G28" s="38" t="n">
        <f aca="false">IF(OR($R28="All",$R28="Not specified",ISNUMBER(SEARCH("O (",$R28))),$P28,1)</f>
        <v>0.453</v>
      </c>
      <c r="H28" s="39" t="n">
        <v>20</v>
      </c>
      <c r="I28" s="40"/>
      <c r="J28" s="40"/>
      <c r="K28" s="40"/>
      <c r="L28" s="40" t="s">
        <v>426</v>
      </c>
      <c r="M28" s="41" t="s">
        <v>298</v>
      </c>
      <c r="N28" s="39" t="n">
        <v>3</v>
      </c>
      <c r="O28" s="40" t="s">
        <v>370</v>
      </c>
      <c r="P28" s="42" t="n">
        <v>0.453</v>
      </c>
      <c r="Q28" s="43" t="n">
        <f aca="false">IF(ISNUMBER(P28),ROUND((1-P28)*100,1),"NR")</f>
        <v>54.7</v>
      </c>
      <c r="R28" s="40" t="s">
        <v>72</v>
      </c>
      <c r="S28" s="40" t="s">
        <v>389</v>
      </c>
      <c r="T28" s="40" t="s">
        <v>419</v>
      </c>
      <c r="U28" s="39" t="n">
        <v>6634</v>
      </c>
      <c r="V28" s="39" t="n">
        <v>48791</v>
      </c>
      <c r="W28" s="39" t="n">
        <f aca="false">IF(AND(ISNUMBER(U28),ISNUMBER(V28)),ROUND((U28+V28)/2,0),IF(ISNUMBER(U28),U28,IF(ISNUMBER(V28),V28,"NR")))</f>
        <v>27713</v>
      </c>
      <c r="X28" s="40" t="s">
        <v>302</v>
      </c>
      <c r="Y28" s="40" t="s">
        <v>301</v>
      </c>
      <c r="Z28" s="40" t="s">
        <v>304</v>
      </c>
      <c r="AA28" s="40" t="s">
        <v>427</v>
      </c>
      <c r="AB28" s="40" t="s">
        <v>325</v>
      </c>
      <c r="AC28" s="40" t="s">
        <v>428</v>
      </c>
      <c r="AD28" s="44" t="s">
        <v>308</v>
      </c>
      <c r="AE28" s="44" t="s">
        <v>317</v>
      </c>
      <c r="AF28" s="44" t="s">
        <v>393</v>
      </c>
      <c r="AG28" s="44" t="s">
        <v>429</v>
      </c>
      <c r="AH28" s="51" t="s">
        <v>9</v>
      </c>
      <c r="AI28" s="46"/>
    </row>
    <row r="29" customFormat="false" ht="35.05" hidden="false" customHeight="false" outlineLevel="0" collapsed="false">
      <c r="A29" s="49" t="s">
        <v>430</v>
      </c>
      <c r="B29" s="50" t="s">
        <v>150</v>
      </c>
      <c r="C29" s="38" t="n">
        <f aca="false">IF(OR($R29="All",$R29="Not specified",ISNUMBER(SEARCH("K (",$R29))),$P29,1)</f>
        <v>0.432</v>
      </c>
      <c r="D29" s="38" t="n">
        <f aca="false">IF(OR($R29="All",$R29="Not specified",ISNUMBER(SEARCH("A (",$R29))),$P29,1)</f>
        <v>0.432</v>
      </c>
      <c r="E29" s="38" t="n">
        <f aca="false">IF(OR($R29="All",$R29="Not specified",ISNUMBER(SEARCH("B (",$R29))),$P29,1)</f>
        <v>0.432</v>
      </c>
      <c r="F29" s="38" t="n">
        <f aca="false">IF(OR($R29="All",$R29="Not specified",ISNUMBER(SEARCH("C (",$R29))),$P29,1)</f>
        <v>0.432</v>
      </c>
      <c r="G29" s="38" t="n">
        <f aca="false">IF(OR($R29="All",$R29="Not specified",ISNUMBER(SEARCH("O (",$R29))),$P29,1)</f>
        <v>0.432</v>
      </c>
      <c r="H29" s="39" t="n">
        <v>20</v>
      </c>
      <c r="I29" s="40"/>
      <c r="J29" s="40"/>
      <c r="K29" s="40"/>
      <c r="L29" s="40" t="s">
        <v>431</v>
      </c>
      <c r="M29" s="47" t="s">
        <v>329</v>
      </c>
      <c r="N29" s="39" t="n">
        <v>4</v>
      </c>
      <c r="O29" s="40" t="s">
        <v>370</v>
      </c>
      <c r="P29" s="42" t="n">
        <v>0.432</v>
      </c>
      <c r="Q29" s="43" t="n">
        <f aca="false">IF(ISNUMBER(P29),ROUND((1-P29)*100,1),"NR")</f>
        <v>56.8</v>
      </c>
      <c r="R29" s="40" t="s">
        <v>72</v>
      </c>
      <c r="S29" s="40" t="s">
        <v>389</v>
      </c>
      <c r="T29" s="40" t="s">
        <v>419</v>
      </c>
      <c r="U29" s="39" t="n">
        <v>6634</v>
      </c>
      <c r="V29" s="39" t="n">
        <v>48791</v>
      </c>
      <c r="W29" s="39" t="n">
        <f aca="false">IF(AND(ISNUMBER(U29),ISNUMBER(V29)),ROUND((U29+V29)/2,0),IF(ISNUMBER(U29),U29,IF(ISNUMBER(V29),V29,"NR")))</f>
        <v>27713</v>
      </c>
      <c r="X29" s="40" t="s">
        <v>302</v>
      </c>
      <c r="Y29" s="40" t="s">
        <v>301</v>
      </c>
      <c r="Z29" s="40" t="s">
        <v>304</v>
      </c>
      <c r="AA29" s="40" t="s">
        <v>427</v>
      </c>
      <c r="AB29" s="40" t="s">
        <v>399</v>
      </c>
      <c r="AC29" s="40" t="s">
        <v>432</v>
      </c>
      <c r="AD29" s="44" t="s">
        <v>308</v>
      </c>
      <c r="AE29" s="44" t="s">
        <v>317</v>
      </c>
      <c r="AF29" s="44" t="s">
        <v>393</v>
      </c>
      <c r="AG29" s="44" t="s">
        <v>429</v>
      </c>
      <c r="AH29" s="51" t="s">
        <v>9</v>
      </c>
      <c r="AI29" s="46"/>
    </row>
    <row r="30" customFormat="false" ht="35.05" hidden="false" customHeight="false" outlineLevel="0" collapsed="false">
      <c r="A30" s="49" t="s">
        <v>433</v>
      </c>
      <c r="B30" s="50" t="s">
        <v>150</v>
      </c>
      <c r="C30" s="38" t="n">
        <f aca="false">IF(OR($R30="All",$R30="Not specified",ISNUMBER(SEARCH("K (",$R30))),$P30,1)</f>
        <v>0.543</v>
      </c>
      <c r="D30" s="38" t="n">
        <f aca="false">IF(OR($R30="All",$R30="Not specified",ISNUMBER(SEARCH("A (",$R30))),$P30,1)</f>
        <v>0.543</v>
      </c>
      <c r="E30" s="38" t="n">
        <f aca="false">IF(OR($R30="All",$R30="Not specified",ISNUMBER(SEARCH("B (",$R30))),$P30,1)</f>
        <v>0.543</v>
      </c>
      <c r="F30" s="38" t="n">
        <f aca="false">IF(OR($R30="All",$R30="Not specified",ISNUMBER(SEARCH("C (",$R30))),$P30,1)</f>
        <v>0.543</v>
      </c>
      <c r="G30" s="38" t="n">
        <f aca="false">IF(OR($R30="All",$R30="Not specified",ISNUMBER(SEARCH("O (",$R30))),$P30,1)</f>
        <v>0.543</v>
      </c>
      <c r="H30" s="39" t="n">
        <v>20</v>
      </c>
      <c r="I30" s="40"/>
      <c r="J30" s="40"/>
      <c r="K30" s="40"/>
      <c r="L30" s="40" t="s">
        <v>434</v>
      </c>
      <c r="M30" s="47" t="s">
        <v>329</v>
      </c>
      <c r="N30" s="39" t="n">
        <v>5</v>
      </c>
      <c r="O30" s="40" t="s">
        <v>370</v>
      </c>
      <c r="P30" s="42" t="n">
        <v>0.543</v>
      </c>
      <c r="Q30" s="43" t="n">
        <f aca="false">IF(ISNUMBER(P30),ROUND((1-P30)*100,1),"NR")</f>
        <v>45.7</v>
      </c>
      <c r="R30" s="40" t="s">
        <v>72</v>
      </c>
      <c r="S30" s="40" t="s">
        <v>389</v>
      </c>
      <c r="T30" s="40" t="s">
        <v>72</v>
      </c>
      <c r="U30" s="39" t="n">
        <v>5400</v>
      </c>
      <c r="V30" s="39" t="n">
        <v>47627</v>
      </c>
      <c r="W30" s="39" t="n">
        <f aca="false">IF(AND(ISNUMBER(U30),ISNUMBER(V30)),ROUND((U30+V30)/2,0),IF(ISNUMBER(U30),U30,IF(ISNUMBER(V30),V30,"NR")))</f>
        <v>26514</v>
      </c>
      <c r="X30" s="40" t="s">
        <v>377</v>
      </c>
      <c r="Y30" s="40" t="s">
        <v>301</v>
      </c>
      <c r="Z30" s="40" t="s">
        <v>304</v>
      </c>
      <c r="AA30" s="40" t="s">
        <v>331</v>
      </c>
      <c r="AB30" s="40" t="s">
        <v>306</v>
      </c>
      <c r="AC30" s="40" t="s">
        <v>435</v>
      </c>
      <c r="AD30" s="44" t="s">
        <v>308</v>
      </c>
      <c r="AE30" s="44" t="s">
        <v>317</v>
      </c>
      <c r="AF30" s="44" t="s">
        <v>393</v>
      </c>
      <c r="AG30" s="44" t="s">
        <v>436</v>
      </c>
      <c r="AH30" s="51" t="s">
        <v>9</v>
      </c>
      <c r="AI30" s="46"/>
    </row>
    <row r="31" customFormat="false" ht="23.85" hidden="false" customHeight="false" outlineLevel="0" collapsed="false">
      <c r="A31" s="49" t="s">
        <v>437</v>
      </c>
      <c r="B31" s="50" t="s">
        <v>156</v>
      </c>
      <c r="C31" s="38" t="n">
        <f aca="false">IF(OR($R31="All",$R31="Not specified",ISNUMBER(SEARCH("K (",$R31))),$P31,1)</f>
        <v>0.526</v>
      </c>
      <c r="D31" s="38" t="n">
        <f aca="false">IF(OR($R31="All",$R31="Not specified",ISNUMBER(SEARCH("A (",$R31))),$P31,1)</f>
        <v>0.526</v>
      </c>
      <c r="E31" s="38" t="n">
        <f aca="false">IF(OR($R31="All",$R31="Not specified",ISNUMBER(SEARCH("B (",$R31))),$P31,1)</f>
        <v>0.526</v>
      </c>
      <c r="F31" s="38" t="n">
        <f aca="false">IF(OR($R31="All",$R31="Not specified",ISNUMBER(SEARCH("C (",$R31))),$P31,1)</f>
        <v>0.526</v>
      </c>
      <c r="G31" s="38" t="n">
        <f aca="false">IF(OR($R31="All",$R31="Not specified",ISNUMBER(SEARCH("O (",$R31))),$P31,1)</f>
        <v>0.526</v>
      </c>
      <c r="H31" s="39" t="n">
        <v>20</v>
      </c>
      <c r="I31" s="40"/>
      <c r="J31" s="40"/>
      <c r="K31" s="40"/>
      <c r="L31" s="40" t="s">
        <v>438</v>
      </c>
      <c r="M31" s="41" t="s">
        <v>298</v>
      </c>
      <c r="N31" s="39" t="n">
        <v>3</v>
      </c>
      <c r="O31" s="40" t="s">
        <v>370</v>
      </c>
      <c r="P31" s="42" t="n">
        <v>0.526</v>
      </c>
      <c r="Q31" s="43" t="n">
        <f aca="false">IF(ISNUMBER(P31),ROUND((1-P31)*100,1),"NR")</f>
        <v>47.4</v>
      </c>
      <c r="R31" s="40" t="s">
        <v>72</v>
      </c>
      <c r="S31" s="40" t="s">
        <v>389</v>
      </c>
      <c r="T31" s="40" t="s">
        <v>419</v>
      </c>
      <c r="U31" s="39" t="n">
        <v>533</v>
      </c>
      <c r="V31" s="39" t="n">
        <v>49402</v>
      </c>
      <c r="W31" s="39" t="n">
        <f aca="false">IF(AND(ISNUMBER(U31),ISNUMBER(V31)),ROUND((U31+V31)/2,0),IF(ISNUMBER(U31),U31,IF(ISNUMBER(V31),V31,"NR")))</f>
        <v>24968</v>
      </c>
      <c r="X31" s="40" t="s">
        <v>302</v>
      </c>
      <c r="Y31" s="40" t="s">
        <v>301</v>
      </c>
      <c r="Z31" s="40" t="s">
        <v>304</v>
      </c>
      <c r="AA31" s="40" t="s">
        <v>415</v>
      </c>
      <c r="AB31" s="40" t="s">
        <v>325</v>
      </c>
      <c r="AC31" s="40"/>
      <c r="AD31" s="44" t="s">
        <v>308</v>
      </c>
      <c r="AE31" s="44" t="s">
        <v>317</v>
      </c>
      <c r="AF31" s="44" t="s">
        <v>393</v>
      </c>
      <c r="AG31" s="44" t="s">
        <v>439</v>
      </c>
      <c r="AH31" s="51" t="s">
        <v>9</v>
      </c>
      <c r="AI31" s="46"/>
    </row>
    <row r="32" customFormat="false" ht="35.05" hidden="false" customHeight="false" outlineLevel="0" collapsed="false">
      <c r="A32" s="49" t="s">
        <v>440</v>
      </c>
      <c r="B32" s="50" t="s">
        <v>156</v>
      </c>
      <c r="C32" s="38" t="n">
        <f aca="false">IF(OR($R32="All",$R32="Not specified",ISNUMBER(SEARCH("K (",$R32))),$P32,1)</f>
        <v>1</v>
      </c>
      <c r="D32" s="38" t="n">
        <f aca="false">IF(OR($R32="All",$R32="Not specified",ISNUMBER(SEARCH("A (",$R32))),$P32,1)</f>
        <v>0.27</v>
      </c>
      <c r="E32" s="38" t="n">
        <f aca="false">IF(OR($R32="All",$R32="Not specified",ISNUMBER(SEARCH("B (",$R32))),$P32,1)</f>
        <v>0.27</v>
      </c>
      <c r="F32" s="38" t="n">
        <f aca="false">IF(OR($R32="All",$R32="Not specified",ISNUMBER(SEARCH("C (",$R32))),$P32,1)</f>
        <v>0.27</v>
      </c>
      <c r="G32" s="38" t="n">
        <f aca="false">IF(OR($R32="All",$R32="Not specified",ISNUMBER(SEARCH("O (",$R32))),$P32,1)</f>
        <v>1</v>
      </c>
      <c r="H32" s="39" t="n">
        <v>20</v>
      </c>
      <c r="I32" s="40"/>
      <c r="J32" s="40"/>
      <c r="K32" s="40"/>
      <c r="L32" s="40" t="s">
        <v>441</v>
      </c>
      <c r="M32" s="47" t="s">
        <v>329</v>
      </c>
      <c r="N32" s="39" t="n">
        <v>4</v>
      </c>
      <c r="O32" s="40" t="s">
        <v>72</v>
      </c>
      <c r="P32" s="42" t="n">
        <v>0.27</v>
      </c>
      <c r="Q32" s="43" t="n">
        <f aca="false">IF(ISNUMBER(P32),ROUND((1-P32)*100,1),"NR")</f>
        <v>73</v>
      </c>
      <c r="R32" s="40" t="s">
        <v>396</v>
      </c>
      <c r="S32" s="40" t="s">
        <v>389</v>
      </c>
      <c r="T32" s="40" t="s">
        <v>321</v>
      </c>
      <c r="U32" s="39" t="s">
        <v>301</v>
      </c>
      <c r="V32" s="39" t="s">
        <v>301</v>
      </c>
      <c r="W32" s="39" t="str">
        <f aca="false">IF(AND(ISNUMBER(U32),ISNUMBER(V32)),ROUND((U32+V32)/2,0),IF(ISNUMBER(U32),U32,IF(ISNUMBER(V32),V32,"NR")))</f>
        <v>NR</v>
      </c>
      <c r="X32" s="40" t="s">
        <v>442</v>
      </c>
      <c r="Y32" s="40" t="s">
        <v>301</v>
      </c>
      <c r="Z32" s="40" t="s">
        <v>304</v>
      </c>
      <c r="AA32" s="40" t="s">
        <v>305</v>
      </c>
      <c r="AB32" s="40" t="s">
        <v>306</v>
      </c>
      <c r="AC32" s="40" t="s">
        <v>443</v>
      </c>
      <c r="AD32" s="44" t="s">
        <v>308</v>
      </c>
      <c r="AE32" s="44" t="s">
        <v>309</v>
      </c>
      <c r="AF32" s="44" t="s">
        <v>393</v>
      </c>
      <c r="AG32" s="44" t="s">
        <v>318</v>
      </c>
      <c r="AH32" s="51" t="s">
        <v>9</v>
      </c>
      <c r="AI32" s="46"/>
    </row>
    <row r="33" customFormat="false" ht="57.45" hidden="false" customHeight="false" outlineLevel="0" collapsed="false">
      <c r="A33" s="49" t="s">
        <v>444</v>
      </c>
      <c r="B33" s="50" t="s">
        <v>161</v>
      </c>
      <c r="C33" s="38" t="n">
        <f aca="false">IF(OR($R33="All",$R33="Not specified",ISNUMBER(SEARCH("K (",$R33))),$P33,1)</f>
        <v>0.812</v>
      </c>
      <c r="D33" s="38" t="n">
        <f aca="false">IF(OR($R33="All",$R33="Not specified",ISNUMBER(SEARCH("A (",$R33))),$P33,1)</f>
        <v>0.812</v>
      </c>
      <c r="E33" s="38" t="n">
        <f aca="false">IF(OR($R33="All",$R33="Not specified",ISNUMBER(SEARCH("B (",$R33))),$P33,1)</f>
        <v>0.812</v>
      </c>
      <c r="F33" s="38" t="n">
        <f aca="false">IF(OR($R33="All",$R33="Not specified",ISNUMBER(SEARCH("C (",$R33))),$P33,1)</f>
        <v>0.812</v>
      </c>
      <c r="G33" s="38" t="n">
        <f aca="false">IF(OR($R33="All",$R33="Not specified",ISNUMBER(SEARCH("O (",$R33))),$P33,1)</f>
        <v>0.812</v>
      </c>
      <c r="H33" s="39" t="n">
        <v>20</v>
      </c>
      <c r="I33" s="40"/>
      <c r="J33" s="40"/>
      <c r="K33" s="40"/>
      <c r="L33" s="40" t="s">
        <v>445</v>
      </c>
      <c r="M33" s="41" t="s">
        <v>298</v>
      </c>
      <c r="N33" s="39" t="n">
        <v>4</v>
      </c>
      <c r="O33" s="40" t="s">
        <v>67</v>
      </c>
      <c r="P33" s="42" t="n">
        <v>0.812</v>
      </c>
      <c r="Q33" s="43" t="n">
        <f aca="false">IF(ISNUMBER(P33),ROUND((1-P33)*100,1),"NR")</f>
        <v>18.8</v>
      </c>
      <c r="R33" s="40" t="s">
        <v>72</v>
      </c>
      <c r="S33" s="40" t="s">
        <v>72</v>
      </c>
      <c r="T33" s="40" t="s">
        <v>321</v>
      </c>
      <c r="U33" s="39" t="n">
        <v>2030</v>
      </c>
      <c r="V33" s="39" t="n">
        <v>15350</v>
      </c>
      <c r="W33" s="39" t="n">
        <f aca="false">IF(AND(ISNUMBER(U33),ISNUMBER(V33)),ROUND((U33+V33)/2,0),IF(ISNUMBER(U33),U33,IF(ISNUMBER(V33),V33,"NR")))</f>
        <v>8690</v>
      </c>
      <c r="X33" s="40" t="s">
        <v>302</v>
      </c>
      <c r="Y33" s="40" t="s">
        <v>301</v>
      </c>
      <c r="Z33" s="40" t="s">
        <v>304</v>
      </c>
      <c r="AA33" s="40" t="s">
        <v>337</v>
      </c>
      <c r="AB33" s="40" t="s">
        <v>306</v>
      </c>
      <c r="AC33" s="40" t="s">
        <v>446</v>
      </c>
      <c r="AD33" s="44" t="s">
        <v>308</v>
      </c>
      <c r="AE33" s="44" t="s">
        <v>317</v>
      </c>
      <c r="AF33" s="44" t="s">
        <v>310</v>
      </c>
      <c r="AG33" s="44" t="s">
        <v>447</v>
      </c>
      <c r="AH33" s="45" t="s">
        <v>11</v>
      </c>
      <c r="AI33" s="46" t="s">
        <v>12</v>
      </c>
    </row>
    <row r="34" customFormat="false" ht="35.05" hidden="false" customHeight="false" outlineLevel="0" collapsed="false">
      <c r="A34" s="49" t="s">
        <v>448</v>
      </c>
      <c r="B34" s="50" t="s">
        <v>161</v>
      </c>
      <c r="C34" s="38" t="n">
        <f aca="false">IF(OR($R34="All",$R34="Not specified",ISNUMBER(SEARCH("K (",$R34))),$P34,1)</f>
        <v>0.613</v>
      </c>
      <c r="D34" s="38" t="n">
        <f aca="false">IF(OR($R34="All",$R34="Not specified",ISNUMBER(SEARCH("A (",$R34))),$P34,1)</f>
        <v>0.613</v>
      </c>
      <c r="E34" s="38" t="n">
        <f aca="false">IF(OR($R34="All",$R34="Not specified",ISNUMBER(SEARCH("B (",$R34))),$P34,1)</f>
        <v>0.613</v>
      </c>
      <c r="F34" s="38" t="n">
        <f aca="false">IF(OR($R34="All",$R34="Not specified",ISNUMBER(SEARCH("C (",$R34))),$P34,1)</f>
        <v>0.613</v>
      </c>
      <c r="G34" s="38" t="n">
        <f aca="false">IF(OR($R34="All",$R34="Not specified",ISNUMBER(SEARCH("O (",$R34))),$P34,1)</f>
        <v>0.613</v>
      </c>
      <c r="H34" s="39" t="n">
        <v>20</v>
      </c>
      <c r="I34" s="40"/>
      <c r="J34" s="40"/>
      <c r="K34" s="40"/>
      <c r="L34" s="40" t="s">
        <v>449</v>
      </c>
      <c r="M34" s="47" t="s">
        <v>329</v>
      </c>
      <c r="N34" s="39" t="n">
        <v>4</v>
      </c>
      <c r="O34" s="40" t="s">
        <v>67</v>
      </c>
      <c r="P34" s="42" t="n">
        <v>0.613</v>
      </c>
      <c r="Q34" s="43" t="n">
        <f aca="false">IF(ISNUMBER(P34),ROUND((1-P34)*100,1),"NR")</f>
        <v>38.7</v>
      </c>
      <c r="R34" s="40" t="s">
        <v>72</v>
      </c>
      <c r="S34" s="40" t="s">
        <v>450</v>
      </c>
      <c r="T34" s="40" t="s">
        <v>321</v>
      </c>
      <c r="U34" s="39" t="n">
        <v>8333</v>
      </c>
      <c r="V34" s="39" t="n">
        <v>13900</v>
      </c>
      <c r="W34" s="39" t="n">
        <f aca="false">IF(AND(ISNUMBER(U34),ISNUMBER(V34)),ROUND((U34+V34)/2,0),IF(ISNUMBER(U34),U34,IF(ISNUMBER(V34),V34,"NR")))</f>
        <v>11117</v>
      </c>
      <c r="X34" s="40" t="s">
        <v>302</v>
      </c>
      <c r="Y34" s="40" t="s">
        <v>301</v>
      </c>
      <c r="Z34" s="40" t="s">
        <v>304</v>
      </c>
      <c r="AA34" s="40" t="s">
        <v>355</v>
      </c>
      <c r="AB34" s="40" t="s">
        <v>306</v>
      </c>
      <c r="AC34" s="40" t="s">
        <v>451</v>
      </c>
      <c r="AD34" s="44" t="s">
        <v>308</v>
      </c>
      <c r="AE34" s="44" t="s">
        <v>317</v>
      </c>
      <c r="AF34" s="44" t="s">
        <v>452</v>
      </c>
      <c r="AG34" s="44" t="s">
        <v>453</v>
      </c>
      <c r="AH34" s="45" t="s">
        <v>11</v>
      </c>
      <c r="AI34" s="46" t="s">
        <v>12</v>
      </c>
    </row>
    <row r="35" customFormat="false" ht="57.45" hidden="false" customHeight="false" outlineLevel="0" collapsed="false">
      <c r="A35" s="49" t="s">
        <v>444</v>
      </c>
      <c r="B35" s="50" t="s">
        <v>161</v>
      </c>
      <c r="C35" s="38" t="n">
        <f aca="false">IF(OR($R35="All",$R35="Not specified",ISNUMBER(SEARCH("K (",$R35))),$P35,1)</f>
        <v>0.748</v>
      </c>
      <c r="D35" s="38" t="n">
        <f aca="false">IF(OR($R35="All",$R35="Not specified",ISNUMBER(SEARCH("A (",$R35))),$P35,1)</f>
        <v>0.748</v>
      </c>
      <c r="E35" s="38" t="n">
        <f aca="false">IF(OR($R35="All",$R35="Not specified",ISNUMBER(SEARCH("B (",$R35))),$P35,1)</f>
        <v>0.748</v>
      </c>
      <c r="F35" s="38" t="n">
        <f aca="false">IF(OR($R35="All",$R35="Not specified",ISNUMBER(SEARCH("C (",$R35))),$P35,1)</f>
        <v>0.748</v>
      </c>
      <c r="G35" s="38" t="n">
        <f aca="false">IF(OR($R35="All",$R35="Not specified",ISNUMBER(SEARCH("O (",$R35))),$P35,1)</f>
        <v>0.748</v>
      </c>
      <c r="H35" s="39" t="n">
        <v>20</v>
      </c>
      <c r="I35" s="40"/>
      <c r="J35" s="40"/>
      <c r="K35" s="40"/>
      <c r="L35" s="40" t="s">
        <v>454</v>
      </c>
      <c r="M35" s="47" t="s">
        <v>329</v>
      </c>
      <c r="N35" s="39" t="n">
        <v>4</v>
      </c>
      <c r="O35" s="40" t="s">
        <v>67</v>
      </c>
      <c r="P35" s="42" t="n">
        <v>0.748</v>
      </c>
      <c r="Q35" s="43" t="n">
        <f aca="false">IF(ISNUMBER(P35),ROUND((1-P35)*100,1),"NR")</f>
        <v>25.2</v>
      </c>
      <c r="R35" s="40" t="s">
        <v>72</v>
      </c>
      <c r="S35" s="40" t="s">
        <v>72</v>
      </c>
      <c r="T35" s="40" t="s">
        <v>321</v>
      </c>
      <c r="U35" s="39" t="n">
        <v>2030</v>
      </c>
      <c r="V35" s="39" t="n">
        <v>15350</v>
      </c>
      <c r="W35" s="39" t="n">
        <f aca="false">IF(AND(ISNUMBER(U35),ISNUMBER(V35)),ROUND((U35+V35)/2,0),IF(ISNUMBER(U35),U35,IF(ISNUMBER(V35),V35,"NR")))</f>
        <v>8690</v>
      </c>
      <c r="X35" s="40" t="s">
        <v>302</v>
      </c>
      <c r="Y35" s="40" t="s">
        <v>301</v>
      </c>
      <c r="Z35" s="40" t="s">
        <v>304</v>
      </c>
      <c r="AA35" s="40" t="s">
        <v>337</v>
      </c>
      <c r="AB35" s="40" t="s">
        <v>306</v>
      </c>
      <c r="AC35" s="40" t="s">
        <v>455</v>
      </c>
      <c r="AD35" s="44" t="s">
        <v>308</v>
      </c>
      <c r="AE35" s="44" t="s">
        <v>317</v>
      </c>
      <c r="AF35" s="44" t="s">
        <v>310</v>
      </c>
      <c r="AG35" s="44" t="s">
        <v>447</v>
      </c>
      <c r="AH35" s="45" t="s">
        <v>11</v>
      </c>
      <c r="AI35" s="46" t="s">
        <v>12</v>
      </c>
    </row>
    <row r="36" customFormat="false" ht="23.85" hidden="false" customHeight="false" outlineLevel="0" collapsed="false">
      <c r="A36" s="49" t="s">
        <v>456</v>
      </c>
      <c r="B36" s="50" t="s">
        <v>168</v>
      </c>
      <c r="C36" s="38" t="n">
        <f aca="false">IF(OR($R36="All",$R36="Not specified",ISNUMBER(SEARCH("K (",$R36))),$P36,1)</f>
        <v>0.598</v>
      </c>
      <c r="D36" s="38" t="n">
        <f aca="false">IF(OR($R36="All",$R36="Not specified",ISNUMBER(SEARCH("A (",$R36))),$P36,1)</f>
        <v>0.598</v>
      </c>
      <c r="E36" s="38" t="n">
        <f aca="false">IF(OR($R36="All",$R36="Not specified",ISNUMBER(SEARCH("B (",$R36))),$P36,1)</f>
        <v>0.598</v>
      </c>
      <c r="F36" s="38" t="n">
        <f aca="false">IF(OR($R36="All",$R36="Not specified",ISNUMBER(SEARCH("C (",$R36))),$P36,1)</f>
        <v>0.598</v>
      </c>
      <c r="G36" s="38" t="n">
        <f aca="false">IF(OR($R36="All",$R36="Not specified",ISNUMBER(SEARCH("O (",$R36))),$P36,1)</f>
        <v>0.598</v>
      </c>
      <c r="H36" s="39" t="n">
        <v>20</v>
      </c>
      <c r="I36" s="40"/>
      <c r="J36" s="40"/>
      <c r="K36" s="40"/>
      <c r="L36" s="40" t="s">
        <v>457</v>
      </c>
      <c r="M36" s="47" t="s">
        <v>329</v>
      </c>
      <c r="N36" s="39" t="n">
        <v>4</v>
      </c>
      <c r="O36" s="40" t="s">
        <v>302</v>
      </c>
      <c r="P36" s="42" t="n">
        <v>0.598</v>
      </c>
      <c r="Q36" s="43" t="n">
        <f aca="false">IF(ISNUMBER(P36),ROUND((1-P36)*100,1),"NR")</f>
        <v>40.2</v>
      </c>
      <c r="R36" s="40" t="s">
        <v>72</v>
      </c>
      <c r="S36" s="40" t="s">
        <v>389</v>
      </c>
      <c r="T36" s="40" t="s">
        <v>72</v>
      </c>
      <c r="U36" s="39" t="s">
        <v>301</v>
      </c>
      <c r="V36" s="39" t="s">
        <v>301</v>
      </c>
      <c r="W36" s="39" t="str">
        <f aca="false">IF(AND(ISNUMBER(U36),ISNUMBER(V36)),ROUND((U36+V36)/2,0),IF(ISNUMBER(U36),U36,IF(ISNUMBER(V36),V36,"NR")))</f>
        <v>NR</v>
      </c>
      <c r="X36" s="40" t="s">
        <v>302</v>
      </c>
      <c r="Y36" s="40" t="s">
        <v>301</v>
      </c>
      <c r="Z36" s="40" t="s">
        <v>304</v>
      </c>
      <c r="AA36" s="40" t="s">
        <v>365</v>
      </c>
      <c r="AB36" s="40" t="s">
        <v>325</v>
      </c>
      <c r="AC36" s="40"/>
      <c r="AD36" s="44" t="s">
        <v>308</v>
      </c>
      <c r="AE36" s="44" t="s">
        <v>317</v>
      </c>
      <c r="AF36" s="44" t="s">
        <v>393</v>
      </c>
      <c r="AG36" s="44" t="s">
        <v>318</v>
      </c>
      <c r="AH36" s="51" t="s">
        <v>9</v>
      </c>
      <c r="AI36" s="46"/>
    </row>
    <row r="37" customFormat="false" ht="35.05" hidden="false" customHeight="false" outlineLevel="0" collapsed="false">
      <c r="A37" s="52" t="s">
        <v>458</v>
      </c>
      <c r="B37" s="53" t="s">
        <v>173</v>
      </c>
      <c r="C37" s="38" t="n">
        <f aca="false">IF(OR($R37="All",$R37="Not specified",ISNUMBER(SEARCH("K (",$R37))),$P37,1)</f>
        <v>0.75</v>
      </c>
      <c r="D37" s="38" t="n">
        <f aca="false">IF(OR($R37="All",$R37="Not specified",ISNUMBER(SEARCH("A (",$R37))),$P37,1)</f>
        <v>0.75</v>
      </c>
      <c r="E37" s="38" t="n">
        <f aca="false">IF(OR($R37="All",$R37="Not specified",ISNUMBER(SEARCH("B (",$R37))),$P37,1)</f>
        <v>0.75</v>
      </c>
      <c r="F37" s="38" t="n">
        <f aca="false">IF(OR($R37="All",$R37="Not specified",ISNUMBER(SEARCH("C (",$R37))),$P37,1)</f>
        <v>0.75</v>
      </c>
      <c r="G37" s="38" t="n">
        <f aca="false">IF(OR($R37="All",$R37="Not specified",ISNUMBER(SEARCH("O (",$R37))),$P37,1)</f>
        <v>0.75</v>
      </c>
      <c r="H37" s="39" t="n">
        <v>20</v>
      </c>
      <c r="I37" s="40"/>
      <c r="J37" s="40"/>
      <c r="K37" s="40"/>
      <c r="L37" s="40" t="s">
        <v>459</v>
      </c>
      <c r="M37" s="41" t="s">
        <v>298</v>
      </c>
      <c r="N37" s="39" t="n">
        <v>5</v>
      </c>
      <c r="O37" s="40" t="s">
        <v>73</v>
      </c>
      <c r="P37" s="42" t="n">
        <v>0.75</v>
      </c>
      <c r="Q37" s="43" t="n">
        <f aca="false">IF(ISNUMBER(P37),ROUND((1-P37)*100,1),"NR")</f>
        <v>25</v>
      </c>
      <c r="R37" s="40" t="s">
        <v>72</v>
      </c>
      <c r="S37" s="40" t="s">
        <v>460</v>
      </c>
      <c r="T37" s="40" t="s">
        <v>72</v>
      </c>
      <c r="U37" s="39" t="n">
        <v>261</v>
      </c>
      <c r="V37" s="39" t="n">
        <v>14790</v>
      </c>
      <c r="W37" s="39" t="n">
        <f aca="false">IF(AND(ISNUMBER(U37),ISNUMBER(V37)),ROUND((U37+V37)/2,0),IF(ISNUMBER(U37),U37,IF(ISNUMBER(V37),V37,"NR")))</f>
        <v>7526</v>
      </c>
      <c r="X37" s="40" t="s">
        <v>302</v>
      </c>
      <c r="Y37" s="40" t="s">
        <v>301</v>
      </c>
      <c r="Z37" s="40" t="s">
        <v>304</v>
      </c>
      <c r="AA37" s="40" t="s">
        <v>355</v>
      </c>
      <c r="AB37" s="40" t="s">
        <v>306</v>
      </c>
      <c r="AC37" s="40"/>
      <c r="AD37" s="44" t="s">
        <v>308</v>
      </c>
      <c r="AE37" s="44" t="s">
        <v>317</v>
      </c>
      <c r="AF37" s="44" t="s">
        <v>461</v>
      </c>
      <c r="AG37" s="44" t="s">
        <v>462</v>
      </c>
      <c r="AH37" s="48" t="s">
        <v>13</v>
      </c>
      <c r="AI37" s="46" t="s">
        <v>463</v>
      </c>
    </row>
    <row r="38" customFormat="false" ht="46.25" hidden="false" customHeight="false" outlineLevel="0" collapsed="false">
      <c r="A38" s="52" t="s">
        <v>464</v>
      </c>
      <c r="B38" s="53" t="s">
        <v>173</v>
      </c>
      <c r="C38" s="38" t="n">
        <f aca="false">IF(OR($R38="All",$R38="Not specified",ISNUMBER(SEARCH("K (",$R38))),$P38,1)</f>
        <v>0.852</v>
      </c>
      <c r="D38" s="38" t="n">
        <f aca="false">IF(OR($R38="All",$R38="Not specified",ISNUMBER(SEARCH("A (",$R38))),$P38,1)</f>
        <v>0.852</v>
      </c>
      <c r="E38" s="38" t="n">
        <f aca="false">IF(OR($R38="All",$R38="Not specified",ISNUMBER(SEARCH("B (",$R38))),$P38,1)</f>
        <v>0.852</v>
      </c>
      <c r="F38" s="38" t="n">
        <f aca="false">IF(OR($R38="All",$R38="Not specified",ISNUMBER(SEARCH("C (",$R38))),$P38,1)</f>
        <v>0.852</v>
      </c>
      <c r="G38" s="38" t="n">
        <f aca="false">IF(OR($R38="All",$R38="Not specified",ISNUMBER(SEARCH("O (",$R38))),$P38,1)</f>
        <v>1</v>
      </c>
      <c r="H38" s="39" t="n">
        <v>20</v>
      </c>
      <c r="I38" s="40"/>
      <c r="J38" s="40"/>
      <c r="K38" s="40"/>
      <c r="L38" s="40" t="s">
        <v>465</v>
      </c>
      <c r="M38" s="41" t="s">
        <v>298</v>
      </c>
      <c r="N38" s="39" t="n">
        <v>3</v>
      </c>
      <c r="O38" s="40" t="s">
        <v>321</v>
      </c>
      <c r="P38" s="42" t="n">
        <v>0.852</v>
      </c>
      <c r="Q38" s="43" t="n">
        <f aca="false">IF(ISNUMBER(P38),ROUND((1-P38)*100,1),"NR")</f>
        <v>14.8</v>
      </c>
      <c r="R38" s="40" t="s">
        <v>299</v>
      </c>
      <c r="S38" s="40" t="s">
        <v>72</v>
      </c>
      <c r="T38" s="40" t="s">
        <v>321</v>
      </c>
      <c r="U38" s="39" t="n">
        <v>173</v>
      </c>
      <c r="V38" s="39" t="n">
        <v>27235</v>
      </c>
      <c r="W38" s="39" t="n">
        <f aca="false">IF(AND(ISNUMBER(U38),ISNUMBER(V38)),ROUND((U38+V38)/2,0),IF(ISNUMBER(U38),U38,IF(ISNUMBER(V38),V38,"NR")))</f>
        <v>13704</v>
      </c>
      <c r="X38" s="40" t="s">
        <v>302</v>
      </c>
      <c r="Y38" s="40" t="s">
        <v>301</v>
      </c>
      <c r="Z38" s="40" t="s">
        <v>304</v>
      </c>
      <c r="AA38" s="40" t="s">
        <v>331</v>
      </c>
      <c r="AB38" s="40" t="s">
        <v>306</v>
      </c>
      <c r="AC38" s="40" t="s">
        <v>466</v>
      </c>
      <c r="AD38" s="54" t="s">
        <v>467</v>
      </c>
      <c r="AE38" s="54" t="s">
        <v>309</v>
      </c>
      <c r="AF38" s="54" t="s">
        <v>310</v>
      </c>
      <c r="AG38" s="54" t="s">
        <v>468</v>
      </c>
      <c r="AH38" s="55" t="s">
        <v>469</v>
      </c>
      <c r="AI38" s="46" t="s">
        <v>470</v>
      </c>
    </row>
    <row r="39" customFormat="false" ht="35.05" hidden="false" customHeight="false" outlineLevel="0" collapsed="false">
      <c r="A39" s="52" t="s">
        <v>471</v>
      </c>
      <c r="B39" s="53" t="s">
        <v>173</v>
      </c>
      <c r="C39" s="38" t="n">
        <f aca="false">IF(OR($R39="All",$R39="Not specified",ISNUMBER(SEARCH("K (",$R39))),$P39,1)</f>
        <v>0.652</v>
      </c>
      <c r="D39" s="38" t="n">
        <f aca="false">IF(OR($R39="All",$R39="Not specified",ISNUMBER(SEARCH("A (",$R39))),$P39,1)</f>
        <v>0.652</v>
      </c>
      <c r="E39" s="38" t="n">
        <f aca="false">IF(OR($R39="All",$R39="Not specified",ISNUMBER(SEARCH("B (",$R39))),$P39,1)</f>
        <v>0.652</v>
      </c>
      <c r="F39" s="38" t="n">
        <f aca="false">IF(OR($R39="All",$R39="Not specified",ISNUMBER(SEARCH("C (",$R39))),$P39,1)</f>
        <v>0.652</v>
      </c>
      <c r="G39" s="38" t="n">
        <f aca="false">IF(OR($R39="All",$R39="Not specified",ISNUMBER(SEARCH("O (",$R39))),$P39,1)</f>
        <v>0.652</v>
      </c>
      <c r="H39" s="39" t="n">
        <v>20</v>
      </c>
      <c r="I39" s="40"/>
      <c r="J39" s="40"/>
      <c r="K39" s="40"/>
      <c r="L39" s="40" t="s">
        <v>472</v>
      </c>
      <c r="M39" s="41" t="s">
        <v>298</v>
      </c>
      <c r="N39" s="39" t="n">
        <v>5</v>
      </c>
      <c r="O39" s="40" t="s">
        <v>73</v>
      </c>
      <c r="P39" s="42" t="n">
        <v>0.652</v>
      </c>
      <c r="Q39" s="43" t="n">
        <f aca="false">IF(ISNUMBER(P39),ROUND((1-P39)*100,1),"NR")</f>
        <v>34.8</v>
      </c>
      <c r="R39" s="40" t="s">
        <v>72</v>
      </c>
      <c r="S39" s="40" t="s">
        <v>72</v>
      </c>
      <c r="T39" s="40" t="s">
        <v>321</v>
      </c>
      <c r="U39" s="39" t="n">
        <v>100</v>
      </c>
      <c r="V39" s="39" t="n">
        <v>15998</v>
      </c>
      <c r="W39" s="39" t="n">
        <f aca="false">IF(AND(ISNUMBER(U39),ISNUMBER(V39)),ROUND((U39+V39)/2,0),IF(ISNUMBER(U39),U39,IF(ISNUMBER(V39),V39,"NR")))</f>
        <v>8049</v>
      </c>
      <c r="X39" s="40" t="s">
        <v>302</v>
      </c>
      <c r="Y39" s="40" t="s">
        <v>301</v>
      </c>
      <c r="Z39" s="40" t="s">
        <v>304</v>
      </c>
      <c r="AA39" s="40" t="s">
        <v>355</v>
      </c>
      <c r="AB39" s="40" t="s">
        <v>306</v>
      </c>
      <c r="AC39" s="40" t="s">
        <v>473</v>
      </c>
      <c r="AD39" s="44" t="s">
        <v>308</v>
      </c>
      <c r="AE39" s="44" t="s">
        <v>317</v>
      </c>
      <c r="AF39" s="44" t="s">
        <v>310</v>
      </c>
      <c r="AG39" s="44" t="s">
        <v>474</v>
      </c>
      <c r="AH39" s="45" t="s">
        <v>11</v>
      </c>
      <c r="AI39" s="46" t="s">
        <v>12</v>
      </c>
    </row>
    <row r="40" customFormat="false" ht="35.05" hidden="false" customHeight="false" outlineLevel="0" collapsed="false">
      <c r="A40" s="52" t="s">
        <v>464</v>
      </c>
      <c r="B40" s="53" t="s">
        <v>173</v>
      </c>
      <c r="C40" s="38" t="n">
        <f aca="false">IF(OR($R40="All",$R40="Not specified",ISNUMBER(SEARCH("K (",$R40))),$P40,1)</f>
        <v>0.56</v>
      </c>
      <c r="D40" s="38" t="n">
        <f aca="false">IF(OR($R40="All",$R40="Not specified",ISNUMBER(SEARCH("A (",$R40))),$P40,1)</f>
        <v>0.56</v>
      </c>
      <c r="E40" s="38" t="n">
        <f aca="false">IF(OR($R40="All",$R40="Not specified",ISNUMBER(SEARCH("B (",$R40))),$P40,1)</f>
        <v>0.56</v>
      </c>
      <c r="F40" s="38" t="n">
        <f aca="false">IF(OR($R40="All",$R40="Not specified",ISNUMBER(SEARCH("C (",$R40))),$P40,1)</f>
        <v>0.56</v>
      </c>
      <c r="G40" s="38" t="n">
        <f aca="false">IF(OR($R40="All",$R40="Not specified",ISNUMBER(SEARCH("O (",$R40))),$P40,1)</f>
        <v>0.56</v>
      </c>
      <c r="H40" s="39" t="n">
        <v>20</v>
      </c>
      <c r="I40" s="40"/>
      <c r="J40" s="40"/>
      <c r="K40" s="40"/>
      <c r="L40" s="40" t="s">
        <v>475</v>
      </c>
      <c r="M40" s="47" t="s">
        <v>329</v>
      </c>
      <c r="N40" s="39" t="n">
        <v>4</v>
      </c>
      <c r="O40" s="40" t="s">
        <v>321</v>
      </c>
      <c r="P40" s="42" t="n">
        <v>0.56</v>
      </c>
      <c r="Q40" s="43" t="n">
        <f aca="false">IF(ISNUMBER(P40),ROUND((1-P40)*100,1),"NR")</f>
        <v>44</v>
      </c>
      <c r="R40" s="40" t="s">
        <v>72</v>
      </c>
      <c r="S40" s="40" t="s">
        <v>476</v>
      </c>
      <c r="T40" s="40" t="s">
        <v>321</v>
      </c>
      <c r="U40" s="39" t="n">
        <v>173</v>
      </c>
      <c r="V40" s="39" t="n">
        <v>27235</v>
      </c>
      <c r="W40" s="39" t="n">
        <f aca="false">IF(AND(ISNUMBER(U40),ISNUMBER(V40)),ROUND((U40+V40)/2,0),IF(ISNUMBER(U40),U40,IF(ISNUMBER(V40),V40,"NR")))</f>
        <v>13704</v>
      </c>
      <c r="X40" s="40" t="s">
        <v>302</v>
      </c>
      <c r="Y40" s="40" t="s">
        <v>301</v>
      </c>
      <c r="Z40" s="40" t="s">
        <v>304</v>
      </c>
      <c r="AA40" s="40" t="s">
        <v>331</v>
      </c>
      <c r="AB40" s="40" t="s">
        <v>306</v>
      </c>
      <c r="AC40" s="40" t="s">
        <v>477</v>
      </c>
      <c r="AD40" s="44" t="s">
        <v>308</v>
      </c>
      <c r="AE40" s="44" t="s">
        <v>317</v>
      </c>
      <c r="AF40" s="44" t="s">
        <v>478</v>
      </c>
      <c r="AG40" s="44" t="s">
        <v>468</v>
      </c>
      <c r="AH40" s="48" t="s">
        <v>13</v>
      </c>
      <c r="AI40" s="46" t="s">
        <v>463</v>
      </c>
    </row>
    <row r="41" customFormat="false" ht="35.05" hidden="false" customHeight="false" outlineLevel="0" collapsed="false">
      <c r="A41" s="52" t="s">
        <v>471</v>
      </c>
      <c r="B41" s="53" t="s">
        <v>173</v>
      </c>
      <c r="C41" s="38" t="n">
        <f aca="false">IF(OR($R41="All",$R41="Not specified",ISNUMBER(SEARCH("K (",$R41))),$P41,1)</f>
        <v>0.616</v>
      </c>
      <c r="D41" s="38" t="n">
        <f aca="false">IF(OR($R41="All",$R41="Not specified",ISNUMBER(SEARCH("A (",$R41))),$P41,1)</f>
        <v>0.616</v>
      </c>
      <c r="E41" s="38" t="n">
        <f aca="false">IF(OR($R41="All",$R41="Not specified",ISNUMBER(SEARCH("B (",$R41))),$P41,1)</f>
        <v>0.616</v>
      </c>
      <c r="F41" s="38" t="n">
        <f aca="false">IF(OR($R41="All",$R41="Not specified",ISNUMBER(SEARCH("C (",$R41))),$P41,1)</f>
        <v>0.616</v>
      </c>
      <c r="G41" s="38" t="n">
        <f aca="false">IF(OR($R41="All",$R41="Not specified",ISNUMBER(SEARCH("O (",$R41))),$P41,1)</f>
        <v>0.616</v>
      </c>
      <c r="H41" s="39" t="n">
        <v>20</v>
      </c>
      <c r="I41" s="40"/>
      <c r="J41" s="40"/>
      <c r="K41" s="40"/>
      <c r="L41" s="40" t="s">
        <v>479</v>
      </c>
      <c r="M41" s="47" t="s">
        <v>329</v>
      </c>
      <c r="N41" s="39" t="n">
        <v>4</v>
      </c>
      <c r="O41" s="40" t="s">
        <v>302</v>
      </c>
      <c r="P41" s="42" t="n">
        <v>0.616</v>
      </c>
      <c r="Q41" s="43" t="n">
        <f aca="false">IF(ISNUMBER(P41),ROUND((1-P41)*100,1),"NR")</f>
        <v>38.4</v>
      </c>
      <c r="R41" s="40" t="s">
        <v>72</v>
      </c>
      <c r="S41" s="40" t="s">
        <v>72</v>
      </c>
      <c r="T41" s="40" t="s">
        <v>321</v>
      </c>
      <c r="U41" s="39" t="n">
        <v>590</v>
      </c>
      <c r="V41" s="39" t="n">
        <v>7600</v>
      </c>
      <c r="W41" s="39" t="n">
        <f aca="false">IF(AND(ISNUMBER(U41),ISNUMBER(V41)),ROUND((U41+V41)/2,0),IF(ISNUMBER(U41),U41,IF(ISNUMBER(V41),V41,"NR")))</f>
        <v>4095</v>
      </c>
      <c r="X41" s="40" t="s">
        <v>302</v>
      </c>
      <c r="Y41" s="40" t="s">
        <v>301</v>
      </c>
      <c r="Z41" s="40" t="s">
        <v>304</v>
      </c>
      <c r="AA41" s="40" t="s">
        <v>480</v>
      </c>
      <c r="AB41" s="40" t="s">
        <v>306</v>
      </c>
      <c r="AC41" s="40" t="s">
        <v>481</v>
      </c>
      <c r="AD41" s="44" t="s">
        <v>308</v>
      </c>
      <c r="AE41" s="44" t="s">
        <v>317</v>
      </c>
      <c r="AF41" s="44" t="s">
        <v>310</v>
      </c>
      <c r="AG41" s="44" t="s">
        <v>482</v>
      </c>
      <c r="AH41" s="45" t="s">
        <v>11</v>
      </c>
      <c r="AI41" s="46" t="s">
        <v>12</v>
      </c>
    </row>
    <row r="42" customFormat="false" ht="35.05" hidden="false" customHeight="false" outlineLevel="0" collapsed="false">
      <c r="A42" s="52" t="s">
        <v>483</v>
      </c>
      <c r="B42" s="53" t="s">
        <v>173</v>
      </c>
      <c r="C42" s="38" t="n">
        <f aca="false">IF(OR($R42="All",$R42="Not specified",ISNUMBER(SEARCH("K (",$R42))),$P42,1)</f>
        <v>0.65</v>
      </c>
      <c r="D42" s="38" t="n">
        <f aca="false">IF(OR($R42="All",$R42="Not specified",ISNUMBER(SEARCH("A (",$R42))),$P42,1)</f>
        <v>0.65</v>
      </c>
      <c r="E42" s="38" t="n">
        <f aca="false">IF(OR($R42="All",$R42="Not specified",ISNUMBER(SEARCH("B (",$R42))),$P42,1)</f>
        <v>0.65</v>
      </c>
      <c r="F42" s="38" t="n">
        <f aca="false">IF(OR($R42="All",$R42="Not specified",ISNUMBER(SEARCH("C (",$R42))),$P42,1)</f>
        <v>0.65</v>
      </c>
      <c r="G42" s="38" t="n">
        <f aca="false">IF(OR($R42="All",$R42="Not specified",ISNUMBER(SEARCH("O (",$R42))),$P42,1)</f>
        <v>0.65</v>
      </c>
      <c r="H42" s="39" t="n">
        <v>20</v>
      </c>
      <c r="I42" s="40"/>
      <c r="J42" s="40"/>
      <c r="K42" s="40"/>
      <c r="L42" s="40" t="s">
        <v>484</v>
      </c>
      <c r="M42" s="47" t="s">
        <v>329</v>
      </c>
      <c r="N42" s="39" t="n">
        <v>5</v>
      </c>
      <c r="O42" s="40" t="s">
        <v>73</v>
      </c>
      <c r="P42" s="42" t="n">
        <v>0.65</v>
      </c>
      <c r="Q42" s="43" t="n">
        <f aca="false">IF(ISNUMBER(P42),ROUND((1-P42)*100,1),"NR")</f>
        <v>35</v>
      </c>
      <c r="R42" s="40" t="s">
        <v>72</v>
      </c>
      <c r="S42" s="40" t="s">
        <v>460</v>
      </c>
      <c r="T42" s="40" t="s">
        <v>72</v>
      </c>
      <c r="U42" s="39" t="n">
        <v>895</v>
      </c>
      <c r="V42" s="39" t="n">
        <v>20479</v>
      </c>
      <c r="W42" s="39" t="n">
        <f aca="false">IF(AND(ISNUMBER(U42),ISNUMBER(V42)),ROUND((U42+V42)/2,0),IF(ISNUMBER(U42),U42,IF(ISNUMBER(V42),V42,"NR")))</f>
        <v>10687</v>
      </c>
      <c r="X42" s="40" t="s">
        <v>302</v>
      </c>
      <c r="Y42" s="40" t="s">
        <v>301</v>
      </c>
      <c r="Z42" s="40" t="s">
        <v>304</v>
      </c>
      <c r="AA42" s="40" t="s">
        <v>355</v>
      </c>
      <c r="AB42" s="40" t="s">
        <v>306</v>
      </c>
      <c r="AC42" s="40"/>
      <c r="AD42" s="44" t="s">
        <v>308</v>
      </c>
      <c r="AE42" s="44" t="s">
        <v>317</v>
      </c>
      <c r="AF42" s="44" t="s">
        <v>461</v>
      </c>
      <c r="AG42" s="44" t="s">
        <v>485</v>
      </c>
      <c r="AH42" s="48" t="s">
        <v>13</v>
      </c>
      <c r="AI42" s="46" t="s">
        <v>463</v>
      </c>
    </row>
    <row r="43" customFormat="false" ht="35.05" hidden="false" customHeight="false" outlineLevel="0" collapsed="false">
      <c r="A43" s="52" t="s">
        <v>458</v>
      </c>
      <c r="B43" s="53" t="s">
        <v>173</v>
      </c>
      <c r="C43" s="38" t="n">
        <f aca="false">IF(OR($R43="All",$R43="Not specified",ISNUMBER(SEARCH("K (",$R43))),$P43,1)</f>
        <v>0.78</v>
      </c>
      <c r="D43" s="38" t="n">
        <f aca="false">IF(OR($R43="All",$R43="Not specified",ISNUMBER(SEARCH("A (",$R43))),$P43,1)</f>
        <v>0.78</v>
      </c>
      <c r="E43" s="38" t="n">
        <f aca="false">IF(OR($R43="All",$R43="Not specified",ISNUMBER(SEARCH("B (",$R43))),$P43,1)</f>
        <v>0.78</v>
      </c>
      <c r="F43" s="38" t="n">
        <f aca="false">IF(OR($R43="All",$R43="Not specified",ISNUMBER(SEARCH("C (",$R43))),$P43,1)</f>
        <v>0.78</v>
      </c>
      <c r="G43" s="38" t="n">
        <f aca="false">IF(OR($R43="All",$R43="Not specified",ISNUMBER(SEARCH("O (",$R43))),$P43,1)</f>
        <v>0.78</v>
      </c>
      <c r="H43" s="39" t="n">
        <v>20</v>
      </c>
      <c r="I43" s="40"/>
      <c r="J43" s="40"/>
      <c r="K43" s="40"/>
      <c r="L43" s="40" t="s">
        <v>486</v>
      </c>
      <c r="M43" s="47" t="s">
        <v>329</v>
      </c>
      <c r="N43" s="39" t="n">
        <v>5</v>
      </c>
      <c r="O43" s="40" t="s">
        <v>73</v>
      </c>
      <c r="P43" s="42" t="n">
        <v>0.78</v>
      </c>
      <c r="Q43" s="43" t="n">
        <f aca="false">IF(ISNUMBER(P43),ROUND((1-P43)*100,1),"NR")</f>
        <v>22</v>
      </c>
      <c r="R43" s="40" t="s">
        <v>72</v>
      </c>
      <c r="S43" s="40" t="s">
        <v>487</v>
      </c>
      <c r="T43" s="40" t="s">
        <v>72</v>
      </c>
      <c r="U43" s="39" t="n">
        <v>261</v>
      </c>
      <c r="V43" s="39" t="n">
        <v>14790</v>
      </c>
      <c r="W43" s="39" t="n">
        <f aca="false">IF(AND(ISNUMBER(U43),ISNUMBER(V43)),ROUND((U43+V43)/2,0),IF(ISNUMBER(U43),U43,IF(ISNUMBER(V43),V43,"NR")))</f>
        <v>7526</v>
      </c>
      <c r="X43" s="40" t="s">
        <v>302</v>
      </c>
      <c r="Y43" s="40" t="s">
        <v>301</v>
      </c>
      <c r="Z43" s="40" t="s">
        <v>304</v>
      </c>
      <c r="AA43" s="40" t="s">
        <v>355</v>
      </c>
      <c r="AB43" s="40" t="s">
        <v>306</v>
      </c>
      <c r="AC43" s="40"/>
      <c r="AD43" s="44" t="s">
        <v>308</v>
      </c>
      <c r="AE43" s="44" t="s">
        <v>317</v>
      </c>
      <c r="AF43" s="44" t="s">
        <v>488</v>
      </c>
      <c r="AG43" s="44" t="s">
        <v>462</v>
      </c>
      <c r="AH43" s="48" t="s">
        <v>13</v>
      </c>
      <c r="AI43" s="46" t="s">
        <v>463</v>
      </c>
    </row>
    <row r="44" customFormat="false" ht="35.05" hidden="false" customHeight="false" outlineLevel="0" collapsed="false">
      <c r="A44" s="52" t="s">
        <v>489</v>
      </c>
      <c r="B44" s="53" t="s">
        <v>173</v>
      </c>
      <c r="C44" s="38" t="n">
        <f aca="false">IF(OR($R44="All",$R44="Not specified",ISNUMBER(SEARCH("K (",$R44))),$P44,1)</f>
        <v>0.21</v>
      </c>
      <c r="D44" s="38" t="n">
        <f aca="false">IF(OR($R44="All",$R44="Not specified",ISNUMBER(SEARCH("A (",$R44))),$P44,1)</f>
        <v>0.21</v>
      </c>
      <c r="E44" s="38" t="n">
        <f aca="false">IF(OR($R44="All",$R44="Not specified",ISNUMBER(SEARCH("B (",$R44))),$P44,1)</f>
        <v>0.21</v>
      </c>
      <c r="F44" s="38" t="n">
        <f aca="false">IF(OR($R44="All",$R44="Not specified",ISNUMBER(SEARCH("C (",$R44))),$P44,1)</f>
        <v>0.21</v>
      </c>
      <c r="G44" s="38" t="n">
        <f aca="false">IF(OR($R44="All",$R44="Not specified",ISNUMBER(SEARCH("O (",$R44))),$P44,1)</f>
        <v>0.21</v>
      </c>
      <c r="H44" s="39" t="n">
        <v>20</v>
      </c>
      <c r="I44" s="40"/>
      <c r="J44" s="40"/>
      <c r="K44" s="40"/>
      <c r="L44" s="40" t="s">
        <v>490</v>
      </c>
      <c r="M44" s="47" t="s">
        <v>329</v>
      </c>
      <c r="N44" s="39" t="n">
        <v>4</v>
      </c>
      <c r="O44" s="40" t="s">
        <v>321</v>
      </c>
      <c r="P44" s="42" t="n">
        <v>0.21</v>
      </c>
      <c r="Q44" s="43" t="n">
        <f aca="false">IF(ISNUMBER(P44),ROUND((1-P44)*100,1),"NR")</f>
        <v>79</v>
      </c>
      <c r="R44" s="40" t="s">
        <v>72</v>
      </c>
      <c r="S44" s="40" t="s">
        <v>476</v>
      </c>
      <c r="T44" s="40" t="s">
        <v>300</v>
      </c>
      <c r="U44" s="39" t="n">
        <v>7400</v>
      </c>
      <c r="V44" s="39" t="n">
        <v>13975</v>
      </c>
      <c r="W44" s="39" t="n">
        <f aca="false">IF(AND(ISNUMBER(U44),ISNUMBER(V44)),ROUND((U44+V44)/2,0),IF(ISNUMBER(U44),U44,IF(ISNUMBER(V44),V44,"NR")))</f>
        <v>10688</v>
      </c>
      <c r="X44" s="40" t="s">
        <v>302</v>
      </c>
      <c r="Y44" s="40" t="s">
        <v>301</v>
      </c>
      <c r="Z44" s="40" t="s">
        <v>304</v>
      </c>
      <c r="AA44" s="40" t="s">
        <v>305</v>
      </c>
      <c r="AB44" s="40" t="s">
        <v>306</v>
      </c>
      <c r="AC44" s="40"/>
      <c r="AD44" s="44" t="s">
        <v>308</v>
      </c>
      <c r="AE44" s="44" t="s">
        <v>317</v>
      </c>
      <c r="AF44" s="44" t="s">
        <v>478</v>
      </c>
      <c r="AG44" s="44" t="s">
        <v>491</v>
      </c>
      <c r="AH44" s="48" t="s">
        <v>13</v>
      </c>
      <c r="AI44" s="46" t="s">
        <v>463</v>
      </c>
    </row>
    <row r="45" customFormat="false" ht="35.05" hidden="false" customHeight="false" outlineLevel="0" collapsed="false">
      <c r="A45" s="52" t="s">
        <v>492</v>
      </c>
      <c r="B45" s="53" t="s">
        <v>173</v>
      </c>
      <c r="C45" s="38" t="n">
        <f aca="false">IF(OR($R45="All",$R45="Not specified",ISNUMBER(SEARCH("K (",$R45))),$P45,1)</f>
        <v>0.231</v>
      </c>
      <c r="D45" s="38" t="n">
        <f aca="false">IF(OR($R45="All",$R45="Not specified",ISNUMBER(SEARCH("A (",$R45))),$P45,1)</f>
        <v>0.231</v>
      </c>
      <c r="E45" s="38" t="n">
        <f aca="false">IF(OR($R45="All",$R45="Not specified",ISNUMBER(SEARCH("B (",$R45))),$P45,1)</f>
        <v>0.231</v>
      </c>
      <c r="F45" s="38" t="n">
        <f aca="false">IF(OR($R45="All",$R45="Not specified",ISNUMBER(SEARCH("C (",$R45))),$P45,1)</f>
        <v>0.231</v>
      </c>
      <c r="G45" s="38" t="n">
        <f aca="false">IF(OR($R45="All",$R45="Not specified",ISNUMBER(SEARCH("O (",$R45))),$P45,1)</f>
        <v>0.231</v>
      </c>
      <c r="H45" s="39" t="n">
        <v>20</v>
      </c>
      <c r="I45" s="40"/>
      <c r="J45" s="40"/>
      <c r="K45" s="40"/>
      <c r="L45" s="40" t="s">
        <v>493</v>
      </c>
      <c r="M45" s="47" t="s">
        <v>329</v>
      </c>
      <c r="N45" s="39" t="n">
        <v>4</v>
      </c>
      <c r="O45" s="40" t="s">
        <v>321</v>
      </c>
      <c r="P45" s="42" t="n">
        <v>0.231</v>
      </c>
      <c r="Q45" s="43" t="n">
        <f aca="false">IF(ISNUMBER(P45),ROUND((1-P45)*100,1),"NR")</f>
        <v>76.9</v>
      </c>
      <c r="R45" s="40" t="s">
        <v>72</v>
      </c>
      <c r="S45" s="40" t="s">
        <v>476</v>
      </c>
      <c r="T45" s="40" t="s">
        <v>300</v>
      </c>
      <c r="U45" s="39" t="n">
        <v>7400</v>
      </c>
      <c r="V45" s="39" t="n">
        <v>13975</v>
      </c>
      <c r="W45" s="39" t="n">
        <f aca="false">IF(AND(ISNUMBER(U45),ISNUMBER(V45)),ROUND((U45+V45)/2,0),IF(ISNUMBER(U45),U45,IF(ISNUMBER(V45),V45,"NR")))</f>
        <v>10688</v>
      </c>
      <c r="X45" s="40" t="s">
        <v>302</v>
      </c>
      <c r="Y45" s="40" t="s">
        <v>301</v>
      </c>
      <c r="Z45" s="40" t="s">
        <v>304</v>
      </c>
      <c r="AA45" s="40" t="s">
        <v>305</v>
      </c>
      <c r="AB45" s="40" t="s">
        <v>306</v>
      </c>
      <c r="AC45" s="40"/>
      <c r="AD45" s="44" t="s">
        <v>308</v>
      </c>
      <c r="AE45" s="44" t="s">
        <v>317</v>
      </c>
      <c r="AF45" s="44" t="s">
        <v>478</v>
      </c>
      <c r="AG45" s="44" t="s">
        <v>491</v>
      </c>
      <c r="AH45" s="48" t="s">
        <v>13</v>
      </c>
      <c r="AI45" s="46" t="s">
        <v>463</v>
      </c>
    </row>
    <row r="46" customFormat="false" ht="46.25" hidden="false" customHeight="false" outlineLevel="0" collapsed="false">
      <c r="A46" s="52" t="s">
        <v>494</v>
      </c>
      <c r="B46" s="53" t="s">
        <v>180</v>
      </c>
      <c r="C46" s="38" t="n">
        <f aca="false">IF(OR($R46="All",$R46="Not specified",ISNUMBER(SEARCH("K (",$R46))),$P46,1)</f>
        <v>0.56</v>
      </c>
      <c r="D46" s="38" t="n">
        <f aca="false">IF(OR($R46="All",$R46="Not specified",ISNUMBER(SEARCH("A (",$R46))),$P46,1)</f>
        <v>0.56</v>
      </c>
      <c r="E46" s="38" t="n">
        <f aca="false">IF(OR($R46="All",$R46="Not specified",ISNUMBER(SEARCH("B (",$R46))),$P46,1)</f>
        <v>0.56</v>
      </c>
      <c r="F46" s="38" t="n">
        <f aca="false">IF(OR($R46="All",$R46="Not specified",ISNUMBER(SEARCH("C (",$R46))),$P46,1)</f>
        <v>0.56</v>
      </c>
      <c r="G46" s="38" t="n">
        <f aca="false">IF(OR($R46="All",$R46="Not specified",ISNUMBER(SEARCH("O (",$R46))),$P46,1)</f>
        <v>1</v>
      </c>
      <c r="H46" s="39" t="n">
        <v>20</v>
      </c>
      <c r="I46" s="40"/>
      <c r="J46" s="40"/>
      <c r="K46" s="40"/>
      <c r="L46" s="40" t="s">
        <v>495</v>
      </c>
      <c r="M46" s="41" t="s">
        <v>298</v>
      </c>
      <c r="N46" s="39" t="n">
        <v>4</v>
      </c>
      <c r="O46" s="40" t="s">
        <v>73</v>
      </c>
      <c r="P46" s="42" t="n">
        <v>0.56</v>
      </c>
      <c r="Q46" s="43" t="n">
        <f aca="false">IF(ISNUMBER(P46),ROUND((1-P46)*100,1),"NR")</f>
        <v>44</v>
      </c>
      <c r="R46" s="40" t="s">
        <v>299</v>
      </c>
      <c r="S46" s="40" t="s">
        <v>496</v>
      </c>
      <c r="T46" s="40" t="s">
        <v>371</v>
      </c>
      <c r="U46" s="39" t="n">
        <v>574</v>
      </c>
      <c r="V46" s="39" t="n">
        <v>17591</v>
      </c>
      <c r="W46" s="39" t="n">
        <f aca="false">IF(AND(ISNUMBER(U46),ISNUMBER(V46)),ROUND((U46+V46)/2,0),IF(ISNUMBER(U46),U46,IF(ISNUMBER(V46),V46,"NR")))</f>
        <v>9083</v>
      </c>
      <c r="X46" s="40" t="s">
        <v>302</v>
      </c>
      <c r="Y46" s="40" t="s">
        <v>301</v>
      </c>
      <c r="Z46" s="40" t="s">
        <v>304</v>
      </c>
      <c r="AA46" s="40" t="s">
        <v>355</v>
      </c>
      <c r="AB46" s="40" t="s">
        <v>306</v>
      </c>
      <c r="AC46" s="40" t="s">
        <v>497</v>
      </c>
      <c r="AD46" s="44" t="s">
        <v>308</v>
      </c>
      <c r="AE46" s="44" t="s">
        <v>309</v>
      </c>
      <c r="AF46" s="44" t="s">
        <v>498</v>
      </c>
      <c r="AG46" s="44" t="s">
        <v>499</v>
      </c>
      <c r="AH46" s="51" t="s">
        <v>9</v>
      </c>
      <c r="AI46" s="46"/>
    </row>
    <row r="47" customFormat="false" ht="46.25" hidden="false" customHeight="false" outlineLevel="0" collapsed="false">
      <c r="A47" s="52" t="s">
        <v>500</v>
      </c>
      <c r="B47" s="53" t="s">
        <v>185</v>
      </c>
      <c r="C47" s="38" t="n">
        <f aca="false">IF(OR($R47="All",$R47="Not specified",ISNUMBER(SEARCH("K (",$R47))),$P47,1)</f>
        <v>0.49</v>
      </c>
      <c r="D47" s="38" t="n">
        <f aca="false">IF(OR($R47="All",$R47="Not specified",ISNUMBER(SEARCH("A (",$R47))),$P47,1)</f>
        <v>0.49</v>
      </c>
      <c r="E47" s="38" t="n">
        <f aca="false">IF(OR($R47="All",$R47="Not specified",ISNUMBER(SEARCH("B (",$R47))),$P47,1)</f>
        <v>0.49</v>
      </c>
      <c r="F47" s="38" t="n">
        <f aca="false">IF(OR($R47="All",$R47="Not specified",ISNUMBER(SEARCH("C (",$R47))),$P47,1)</f>
        <v>0.49</v>
      </c>
      <c r="G47" s="38" t="n">
        <f aca="false">IF(OR($R47="All",$R47="Not specified",ISNUMBER(SEARCH("O (",$R47))),$P47,1)</f>
        <v>1</v>
      </c>
      <c r="H47" s="39" t="n">
        <v>20</v>
      </c>
      <c r="I47" s="40"/>
      <c r="J47" s="40"/>
      <c r="K47" s="40"/>
      <c r="L47" s="40" t="s">
        <v>501</v>
      </c>
      <c r="M47" s="41" t="s">
        <v>298</v>
      </c>
      <c r="N47" s="39" t="n">
        <v>3</v>
      </c>
      <c r="O47" s="40" t="s">
        <v>73</v>
      </c>
      <c r="P47" s="42" t="n">
        <v>0.49</v>
      </c>
      <c r="Q47" s="43" t="n">
        <f aca="false">IF(ISNUMBER(P47),ROUND((1-P47)*100,1),"NR")</f>
        <v>51</v>
      </c>
      <c r="R47" s="40" t="s">
        <v>299</v>
      </c>
      <c r="S47" s="40" t="s">
        <v>502</v>
      </c>
      <c r="T47" s="40" t="s">
        <v>300</v>
      </c>
      <c r="U47" s="39" t="n">
        <v>11539</v>
      </c>
      <c r="V47" s="39" t="n">
        <v>37112</v>
      </c>
      <c r="W47" s="39" t="n">
        <f aca="false">IF(AND(ISNUMBER(U47),ISNUMBER(V47)),ROUND((U47+V47)/2,0),IF(ISNUMBER(U47),U47,IF(ISNUMBER(V47),V47,"NR")))</f>
        <v>24326</v>
      </c>
      <c r="X47" s="40" t="s">
        <v>302</v>
      </c>
      <c r="Y47" s="40" t="s">
        <v>301</v>
      </c>
      <c r="Z47" s="40" t="s">
        <v>304</v>
      </c>
      <c r="AA47" s="40" t="s">
        <v>503</v>
      </c>
      <c r="AB47" s="40" t="s">
        <v>325</v>
      </c>
      <c r="AC47" s="40" t="s">
        <v>504</v>
      </c>
      <c r="AD47" s="54" t="s">
        <v>505</v>
      </c>
      <c r="AE47" s="54" t="s">
        <v>309</v>
      </c>
      <c r="AF47" s="54" t="s">
        <v>506</v>
      </c>
      <c r="AG47" s="54" t="s">
        <v>507</v>
      </c>
      <c r="AH47" s="55" t="s">
        <v>469</v>
      </c>
      <c r="AI47" s="46" t="s">
        <v>470</v>
      </c>
    </row>
    <row r="48" customFormat="false" ht="46.25" hidden="false" customHeight="false" outlineLevel="0" collapsed="false">
      <c r="A48" s="52" t="s">
        <v>508</v>
      </c>
      <c r="B48" s="53" t="s">
        <v>185</v>
      </c>
      <c r="C48" s="38" t="n">
        <f aca="false">IF(OR($R48="All",$R48="Not specified",ISNUMBER(SEARCH("K (",$R48))),$P48,1)</f>
        <v>0.87</v>
      </c>
      <c r="D48" s="38" t="n">
        <f aca="false">IF(OR($R48="All",$R48="Not specified",ISNUMBER(SEARCH("A (",$R48))),$P48,1)</f>
        <v>0.87</v>
      </c>
      <c r="E48" s="38" t="n">
        <f aca="false">IF(OR($R48="All",$R48="Not specified",ISNUMBER(SEARCH("B (",$R48))),$P48,1)</f>
        <v>0.87</v>
      </c>
      <c r="F48" s="38" t="n">
        <f aca="false">IF(OR($R48="All",$R48="Not specified",ISNUMBER(SEARCH("C (",$R48))),$P48,1)</f>
        <v>0.87</v>
      </c>
      <c r="G48" s="38" t="n">
        <f aca="false">IF(OR($R48="All",$R48="Not specified",ISNUMBER(SEARCH("O (",$R48))),$P48,1)</f>
        <v>1</v>
      </c>
      <c r="H48" s="39" t="n">
        <v>20</v>
      </c>
      <c r="I48" s="40"/>
      <c r="J48" s="40"/>
      <c r="K48" s="40"/>
      <c r="L48" s="40" t="s">
        <v>509</v>
      </c>
      <c r="M48" s="41" t="s">
        <v>298</v>
      </c>
      <c r="N48" s="39" t="n">
        <v>3</v>
      </c>
      <c r="O48" s="40" t="s">
        <v>73</v>
      </c>
      <c r="P48" s="42" t="n">
        <v>0.87</v>
      </c>
      <c r="Q48" s="43" t="n">
        <f aca="false">IF(ISNUMBER(P48),ROUND((1-P48)*100,1),"NR")</f>
        <v>13</v>
      </c>
      <c r="R48" s="40" t="s">
        <v>299</v>
      </c>
      <c r="S48" s="40" t="s">
        <v>72</v>
      </c>
      <c r="T48" s="40" t="s">
        <v>300</v>
      </c>
      <c r="U48" s="39" t="n">
        <v>6777</v>
      </c>
      <c r="V48" s="39" t="n">
        <v>24752</v>
      </c>
      <c r="W48" s="39" t="n">
        <f aca="false">IF(AND(ISNUMBER(U48),ISNUMBER(V48)),ROUND((U48+V48)/2,0),IF(ISNUMBER(U48),U48,IF(ISNUMBER(V48),V48,"NR")))</f>
        <v>15765</v>
      </c>
      <c r="X48" s="40" t="s">
        <v>302</v>
      </c>
      <c r="Y48" s="40" t="s">
        <v>301</v>
      </c>
      <c r="Z48" s="40" t="s">
        <v>304</v>
      </c>
      <c r="AA48" s="40" t="s">
        <v>315</v>
      </c>
      <c r="AB48" s="40" t="s">
        <v>306</v>
      </c>
      <c r="AC48" s="40" t="s">
        <v>504</v>
      </c>
      <c r="AD48" s="54" t="s">
        <v>510</v>
      </c>
      <c r="AE48" s="54" t="s">
        <v>309</v>
      </c>
      <c r="AF48" s="54" t="s">
        <v>310</v>
      </c>
      <c r="AG48" s="54" t="s">
        <v>511</v>
      </c>
      <c r="AH48" s="55" t="s">
        <v>469</v>
      </c>
      <c r="AI48" s="46" t="s">
        <v>470</v>
      </c>
    </row>
    <row r="49" customFormat="false" ht="35.05" hidden="false" customHeight="false" outlineLevel="0" collapsed="false">
      <c r="A49" s="52" t="s">
        <v>512</v>
      </c>
      <c r="B49" s="53" t="s">
        <v>180</v>
      </c>
      <c r="C49" s="38" t="n">
        <f aca="false">IF(OR($R49="All",$R49="Not specified",ISNUMBER(SEARCH("K (",$R49))),$P49,1)</f>
        <v>0.43</v>
      </c>
      <c r="D49" s="38" t="n">
        <f aca="false">IF(OR($R49="All",$R49="Not specified",ISNUMBER(SEARCH("A (",$R49))),$P49,1)</f>
        <v>0.43</v>
      </c>
      <c r="E49" s="38" t="n">
        <f aca="false">IF(OR($R49="All",$R49="Not specified",ISNUMBER(SEARCH("B (",$R49))),$P49,1)</f>
        <v>0.43</v>
      </c>
      <c r="F49" s="38" t="n">
        <f aca="false">IF(OR($R49="All",$R49="Not specified",ISNUMBER(SEARCH("C (",$R49))),$P49,1)</f>
        <v>0.43</v>
      </c>
      <c r="G49" s="38" t="n">
        <f aca="false">IF(OR($R49="All",$R49="Not specified",ISNUMBER(SEARCH("O (",$R49))),$P49,1)</f>
        <v>0.43</v>
      </c>
      <c r="H49" s="39" t="n">
        <v>20</v>
      </c>
      <c r="I49" s="40"/>
      <c r="J49" s="40"/>
      <c r="K49" s="40"/>
      <c r="L49" s="40" t="s">
        <v>513</v>
      </c>
      <c r="M49" s="47" t="s">
        <v>329</v>
      </c>
      <c r="N49" s="39" t="n">
        <v>5</v>
      </c>
      <c r="O49" s="40" t="s">
        <v>302</v>
      </c>
      <c r="P49" s="42" t="n">
        <v>0.43</v>
      </c>
      <c r="Q49" s="43" t="n">
        <f aca="false">IF(ISNUMBER(P49),ROUND((1-P49)*100,1),"NR")</f>
        <v>57</v>
      </c>
      <c r="R49" s="40" t="s">
        <v>72</v>
      </c>
      <c r="S49" s="40" t="s">
        <v>514</v>
      </c>
      <c r="T49" s="40" t="s">
        <v>314</v>
      </c>
      <c r="U49" s="39" t="s">
        <v>301</v>
      </c>
      <c r="V49" s="39" t="s">
        <v>301</v>
      </c>
      <c r="W49" s="39" t="str">
        <f aca="false">IF(AND(ISNUMBER(U49),ISNUMBER(V49)),ROUND((U49+V49)/2,0),IF(ISNUMBER(U49),U49,IF(ISNUMBER(V49),V49,"NR")))</f>
        <v>NR</v>
      </c>
      <c r="X49" s="40" t="s">
        <v>302</v>
      </c>
      <c r="Y49" s="40" t="s">
        <v>301</v>
      </c>
      <c r="Z49" s="40" t="s">
        <v>304</v>
      </c>
      <c r="AA49" s="40" t="s">
        <v>331</v>
      </c>
      <c r="AB49" s="40" t="s">
        <v>306</v>
      </c>
      <c r="AC49" s="40" t="s">
        <v>515</v>
      </c>
      <c r="AD49" s="44" t="s">
        <v>308</v>
      </c>
      <c r="AE49" s="44" t="s">
        <v>317</v>
      </c>
      <c r="AF49" s="44" t="s">
        <v>516</v>
      </c>
      <c r="AG49" s="44" t="s">
        <v>318</v>
      </c>
      <c r="AH49" s="51" t="s">
        <v>9</v>
      </c>
      <c r="AI49" s="46" t="s">
        <v>517</v>
      </c>
    </row>
    <row r="50" customFormat="false" ht="35.05" hidden="false" customHeight="false" outlineLevel="0" collapsed="false">
      <c r="A50" s="52" t="s">
        <v>494</v>
      </c>
      <c r="B50" s="53" t="s">
        <v>180</v>
      </c>
      <c r="C50" s="38" t="n">
        <f aca="false">IF(OR($R50="All",$R50="Not specified",ISNUMBER(SEARCH("K (",$R50))),$P50,1)</f>
        <v>0.51</v>
      </c>
      <c r="D50" s="38" t="n">
        <f aca="false">IF(OR($R50="All",$R50="Not specified",ISNUMBER(SEARCH("A (",$R50))),$P50,1)</f>
        <v>0.51</v>
      </c>
      <c r="E50" s="38" t="n">
        <f aca="false">IF(OR($R50="All",$R50="Not specified",ISNUMBER(SEARCH("B (",$R50))),$P50,1)</f>
        <v>0.51</v>
      </c>
      <c r="F50" s="38" t="n">
        <f aca="false">IF(OR($R50="All",$R50="Not specified",ISNUMBER(SEARCH("C (",$R50))),$P50,1)</f>
        <v>0.51</v>
      </c>
      <c r="G50" s="38" t="n">
        <f aca="false">IF(OR($R50="All",$R50="Not specified",ISNUMBER(SEARCH("O (",$R50))),$P50,1)</f>
        <v>0.51</v>
      </c>
      <c r="H50" s="39" t="n">
        <v>20</v>
      </c>
      <c r="I50" s="40"/>
      <c r="J50" s="40"/>
      <c r="K50" s="40"/>
      <c r="L50" s="40" t="s">
        <v>518</v>
      </c>
      <c r="M50" s="47" t="s">
        <v>329</v>
      </c>
      <c r="N50" s="39" t="n">
        <v>5</v>
      </c>
      <c r="O50" s="40" t="s">
        <v>73</v>
      </c>
      <c r="P50" s="42" t="n">
        <v>0.51</v>
      </c>
      <c r="Q50" s="43" t="n">
        <f aca="false">IF(ISNUMBER(P50),ROUND((1-P50)*100,1),"NR")</f>
        <v>49</v>
      </c>
      <c r="R50" s="40" t="s">
        <v>72</v>
      </c>
      <c r="S50" s="40" t="s">
        <v>496</v>
      </c>
      <c r="T50" s="40" t="s">
        <v>371</v>
      </c>
      <c r="U50" s="39" t="n">
        <v>1336</v>
      </c>
      <c r="V50" s="39" t="n">
        <v>13240</v>
      </c>
      <c r="W50" s="39" t="n">
        <f aca="false">IF(AND(ISNUMBER(U50),ISNUMBER(V50)),ROUND((U50+V50)/2,0),IF(ISNUMBER(U50),U50,IF(ISNUMBER(V50),V50,"NR")))</f>
        <v>7288</v>
      </c>
      <c r="X50" s="40" t="s">
        <v>302</v>
      </c>
      <c r="Y50" s="40" t="s">
        <v>301</v>
      </c>
      <c r="Z50" s="40" t="s">
        <v>304</v>
      </c>
      <c r="AA50" s="40" t="s">
        <v>355</v>
      </c>
      <c r="AB50" s="40" t="s">
        <v>306</v>
      </c>
      <c r="AC50" s="40" t="s">
        <v>497</v>
      </c>
      <c r="AD50" s="44" t="s">
        <v>308</v>
      </c>
      <c r="AE50" s="44" t="s">
        <v>317</v>
      </c>
      <c r="AF50" s="44" t="s">
        <v>498</v>
      </c>
      <c r="AG50" s="44" t="s">
        <v>519</v>
      </c>
      <c r="AH50" s="51" t="s">
        <v>9</v>
      </c>
      <c r="AI50" s="46"/>
    </row>
    <row r="51" customFormat="false" ht="35.05" hidden="false" customHeight="false" outlineLevel="0" collapsed="false">
      <c r="A51" s="52" t="s">
        <v>520</v>
      </c>
      <c r="B51" s="53" t="s">
        <v>180</v>
      </c>
      <c r="C51" s="38" t="n">
        <f aca="false">IF(OR($R51="All",$R51="Not specified",ISNUMBER(SEARCH("K (",$R51))),$P51,1)</f>
        <v>0.51</v>
      </c>
      <c r="D51" s="38" t="n">
        <f aca="false">IF(OR($R51="All",$R51="Not specified",ISNUMBER(SEARCH("A (",$R51))),$P51,1)</f>
        <v>0.51</v>
      </c>
      <c r="E51" s="38" t="n">
        <f aca="false">IF(OR($R51="All",$R51="Not specified",ISNUMBER(SEARCH("B (",$R51))),$P51,1)</f>
        <v>0.51</v>
      </c>
      <c r="F51" s="38" t="n">
        <f aca="false">IF(OR($R51="All",$R51="Not specified",ISNUMBER(SEARCH("C (",$R51))),$P51,1)</f>
        <v>0.51</v>
      </c>
      <c r="G51" s="38" t="n">
        <f aca="false">IF(OR($R51="All",$R51="Not specified",ISNUMBER(SEARCH("O (",$R51))),$P51,1)</f>
        <v>0.51</v>
      </c>
      <c r="H51" s="39" t="n">
        <v>20</v>
      </c>
      <c r="I51" s="40"/>
      <c r="J51" s="40"/>
      <c r="K51" s="40"/>
      <c r="L51" s="40" t="s">
        <v>521</v>
      </c>
      <c r="M51" s="47" t="s">
        <v>329</v>
      </c>
      <c r="N51" s="39" t="n">
        <v>5</v>
      </c>
      <c r="O51" s="40" t="s">
        <v>73</v>
      </c>
      <c r="P51" s="42" t="n">
        <v>0.51</v>
      </c>
      <c r="Q51" s="43" t="n">
        <f aca="false">IF(ISNUMBER(P51),ROUND((1-P51)*100,1),"NR")</f>
        <v>49</v>
      </c>
      <c r="R51" s="40" t="s">
        <v>72</v>
      </c>
      <c r="S51" s="40" t="s">
        <v>496</v>
      </c>
      <c r="T51" s="40" t="s">
        <v>371</v>
      </c>
      <c r="U51" s="39" t="n">
        <v>1336</v>
      </c>
      <c r="V51" s="39" t="n">
        <v>13240</v>
      </c>
      <c r="W51" s="39" t="n">
        <f aca="false">IF(AND(ISNUMBER(U51),ISNUMBER(V51)),ROUND((U51+V51)/2,0),IF(ISNUMBER(U51),U51,IF(ISNUMBER(V51),V51,"NR")))</f>
        <v>7288</v>
      </c>
      <c r="X51" s="40" t="s">
        <v>302</v>
      </c>
      <c r="Y51" s="40" t="s">
        <v>301</v>
      </c>
      <c r="Z51" s="40" t="s">
        <v>304</v>
      </c>
      <c r="AA51" s="40" t="s">
        <v>355</v>
      </c>
      <c r="AB51" s="40" t="s">
        <v>306</v>
      </c>
      <c r="AC51" s="40" t="s">
        <v>497</v>
      </c>
      <c r="AD51" s="44" t="s">
        <v>308</v>
      </c>
      <c r="AE51" s="44" t="s">
        <v>317</v>
      </c>
      <c r="AF51" s="44" t="s">
        <v>498</v>
      </c>
      <c r="AG51" s="44" t="s">
        <v>519</v>
      </c>
      <c r="AH51" s="51" t="s">
        <v>9</v>
      </c>
      <c r="AI51" s="46"/>
    </row>
    <row r="52" customFormat="false" ht="35.05" hidden="false" customHeight="false" outlineLevel="0" collapsed="false">
      <c r="A52" s="52" t="s">
        <v>522</v>
      </c>
      <c r="B52" s="53" t="s">
        <v>180</v>
      </c>
      <c r="C52" s="38" t="n">
        <f aca="false">IF(OR($R52="All",$R52="Not specified",ISNUMBER(SEARCH("K (",$R52))),$P52,1)</f>
        <v>0.53</v>
      </c>
      <c r="D52" s="38" t="n">
        <f aca="false">IF(OR($R52="All",$R52="Not specified",ISNUMBER(SEARCH("A (",$R52))),$P52,1)</f>
        <v>0.53</v>
      </c>
      <c r="E52" s="38" t="n">
        <f aca="false">IF(OR($R52="All",$R52="Not specified",ISNUMBER(SEARCH("B (",$R52))),$P52,1)</f>
        <v>0.53</v>
      </c>
      <c r="F52" s="38" t="n">
        <f aca="false">IF(OR($R52="All",$R52="Not specified",ISNUMBER(SEARCH("C (",$R52))),$P52,1)</f>
        <v>0.53</v>
      </c>
      <c r="G52" s="38" t="n">
        <f aca="false">IF(OR($R52="All",$R52="Not specified",ISNUMBER(SEARCH("O (",$R52))),$P52,1)</f>
        <v>0.53</v>
      </c>
      <c r="H52" s="39" t="n">
        <v>20</v>
      </c>
      <c r="I52" s="40"/>
      <c r="J52" s="40"/>
      <c r="K52" s="40"/>
      <c r="L52" s="40" t="s">
        <v>523</v>
      </c>
      <c r="M52" s="47" t="s">
        <v>329</v>
      </c>
      <c r="N52" s="39" t="n">
        <v>5</v>
      </c>
      <c r="O52" s="40" t="s">
        <v>73</v>
      </c>
      <c r="P52" s="42" t="n">
        <v>0.53</v>
      </c>
      <c r="Q52" s="43" t="n">
        <f aca="false">IF(ISNUMBER(P52),ROUND((1-P52)*100,1),"NR")</f>
        <v>47</v>
      </c>
      <c r="R52" s="40" t="s">
        <v>72</v>
      </c>
      <c r="S52" s="40" t="s">
        <v>496</v>
      </c>
      <c r="T52" s="40" t="s">
        <v>371</v>
      </c>
      <c r="U52" s="39" t="n">
        <v>574</v>
      </c>
      <c r="V52" s="39" t="n">
        <v>20784</v>
      </c>
      <c r="W52" s="39" t="n">
        <f aca="false">IF(AND(ISNUMBER(U52),ISNUMBER(V52)),ROUND((U52+V52)/2,0),IF(ISNUMBER(U52),U52,IF(ISNUMBER(V52),V52,"NR")))</f>
        <v>10679</v>
      </c>
      <c r="X52" s="40" t="s">
        <v>302</v>
      </c>
      <c r="Y52" s="40" t="s">
        <v>301</v>
      </c>
      <c r="Z52" s="40" t="s">
        <v>304</v>
      </c>
      <c r="AA52" s="40" t="s">
        <v>355</v>
      </c>
      <c r="AB52" s="40" t="s">
        <v>306</v>
      </c>
      <c r="AC52" s="40" t="s">
        <v>497</v>
      </c>
      <c r="AD52" s="44" t="s">
        <v>308</v>
      </c>
      <c r="AE52" s="44" t="s">
        <v>317</v>
      </c>
      <c r="AF52" s="44" t="s">
        <v>498</v>
      </c>
      <c r="AG52" s="44" t="s">
        <v>524</v>
      </c>
      <c r="AH52" s="51" t="s">
        <v>9</v>
      </c>
      <c r="AI52" s="46"/>
    </row>
    <row r="53" customFormat="false" ht="46.25" hidden="false" customHeight="false" outlineLevel="0" collapsed="false">
      <c r="A53" s="52" t="s">
        <v>525</v>
      </c>
      <c r="B53" s="53" t="s">
        <v>185</v>
      </c>
      <c r="C53" s="38" t="n">
        <f aca="false">IF(OR($R53="All",$R53="Not specified",ISNUMBER(SEARCH("K (",$R53))),$P53,1)</f>
        <v>0.558</v>
      </c>
      <c r="D53" s="38" t="n">
        <f aca="false">IF(OR($R53="All",$R53="Not specified",ISNUMBER(SEARCH("A (",$R53))),$P53,1)</f>
        <v>0.558</v>
      </c>
      <c r="E53" s="38" t="n">
        <f aca="false">IF(OR($R53="All",$R53="Not specified",ISNUMBER(SEARCH("B (",$R53))),$P53,1)</f>
        <v>0.558</v>
      </c>
      <c r="F53" s="38" t="n">
        <f aca="false">IF(OR($R53="All",$R53="Not specified",ISNUMBER(SEARCH("C (",$R53))),$P53,1)</f>
        <v>0.558</v>
      </c>
      <c r="G53" s="38" t="n">
        <f aca="false">IF(OR($R53="All",$R53="Not specified",ISNUMBER(SEARCH("O (",$R53))),$P53,1)</f>
        <v>1</v>
      </c>
      <c r="H53" s="39" t="n">
        <v>20</v>
      </c>
      <c r="I53" s="40"/>
      <c r="J53" s="40"/>
      <c r="K53" s="40"/>
      <c r="L53" s="40" t="s">
        <v>526</v>
      </c>
      <c r="M53" s="47" t="s">
        <v>329</v>
      </c>
      <c r="N53" s="39" t="n">
        <v>5</v>
      </c>
      <c r="O53" s="40" t="s">
        <v>73</v>
      </c>
      <c r="P53" s="42" t="n">
        <v>0.558</v>
      </c>
      <c r="Q53" s="43" t="n">
        <f aca="false">IF(ISNUMBER(P53),ROUND((1-P53)*100,1),"NR")</f>
        <v>44.2</v>
      </c>
      <c r="R53" s="40" t="s">
        <v>299</v>
      </c>
      <c r="S53" s="40" t="s">
        <v>72</v>
      </c>
      <c r="T53" s="40" t="s">
        <v>321</v>
      </c>
      <c r="U53" s="39" t="n">
        <v>154</v>
      </c>
      <c r="V53" s="39" t="n">
        <v>15848</v>
      </c>
      <c r="W53" s="39" t="n">
        <f aca="false">IF(AND(ISNUMBER(U53),ISNUMBER(V53)),ROUND((U53+V53)/2,0),IF(ISNUMBER(U53),U53,IF(ISNUMBER(V53),V53,"NR")))</f>
        <v>8001</v>
      </c>
      <c r="X53" s="40" t="s">
        <v>302</v>
      </c>
      <c r="Y53" s="40" t="s">
        <v>301</v>
      </c>
      <c r="Z53" s="40" t="s">
        <v>304</v>
      </c>
      <c r="AA53" s="40" t="s">
        <v>355</v>
      </c>
      <c r="AB53" s="40" t="s">
        <v>306</v>
      </c>
      <c r="AC53" s="40" t="s">
        <v>527</v>
      </c>
      <c r="AD53" s="44" t="s">
        <v>308</v>
      </c>
      <c r="AE53" s="44" t="s">
        <v>309</v>
      </c>
      <c r="AF53" s="44" t="s">
        <v>310</v>
      </c>
      <c r="AG53" s="44" t="s">
        <v>528</v>
      </c>
      <c r="AH53" s="45" t="s">
        <v>11</v>
      </c>
      <c r="AI53" s="46" t="s">
        <v>12</v>
      </c>
    </row>
    <row r="54" customFormat="false" ht="35.05" hidden="false" customHeight="false" outlineLevel="0" collapsed="false">
      <c r="A54" s="52" t="s">
        <v>508</v>
      </c>
      <c r="B54" s="53" t="s">
        <v>185</v>
      </c>
      <c r="C54" s="38" t="n">
        <f aca="false">IF(OR($R54="All",$R54="Not specified",ISNUMBER(SEARCH("K (",$R54))),$P54,1)</f>
        <v>0.58</v>
      </c>
      <c r="D54" s="38" t="n">
        <f aca="false">IF(OR($R54="All",$R54="Not specified",ISNUMBER(SEARCH("A (",$R54))),$P54,1)</f>
        <v>0.58</v>
      </c>
      <c r="E54" s="38" t="n">
        <f aca="false">IF(OR($R54="All",$R54="Not specified",ISNUMBER(SEARCH("B (",$R54))),$P54,1)</f>
        <v>0.58</v>
      </c>
      <c r="F54" s="38" t="n">
        <f aca="false">IF(OR($R54="All",$R54="Not specified",ISNUMBER(SEARCH("C (",$R54))),$P54,1)</f>
        <v>0.58</v>
      </c>
      <c r="G54" s="38" t="n">
        <f aca="false">IF(OR($R54="All",$R54="Not specified",ISNUMBER(SEARCH("O (",$R54))),$P54,1)</f>
        <v>0.58</v>
      </c>
      <c r="H54" s="39" t="n">
        <v>20</v>
      </c>
      <c r="I54" s="40"/>
      <c r="J54" s="40"/>
      <c r="K54" s="40"/>
      <c r="L54" s="40" t="s">
        <v>529</v>
      </c>
      <c r="M54" s="47" t="s">
        <v>329</v>
      </c>
      <c r="N54" s="39" t="n">
        <v>5</v>
      </c>
      <c r="O54" s="40" t="s">
        <v>73</v>
      </c>
      <c r="P54" s="42" t="n">
        <v>0.58</v>
      </c>
      <c r="Q54" s="43" t="n">
        <f aca="false">IF(ISNUMBER(P54),ROUND((1-P54)*100,1),"NR")</f>
        <v>42</v>
      </c>
      <c r="R54" s="40" t="s">
        <v>72</v>
      </c>
      <c r="S54" s="40" t="s">
        <v>530</v>
      </c>
      <c r="T54" s="40" t="s">
        <v>300</v>
      </c>
      <c r="U54" s="39" t="n">
        <v>6777</v>
      </c>
      <c r="V54" s="39" t="n">
        <v>37112</v>
      </c>
      <c r="W54" s="39" t="n">
        <f aca="false">IF(AND(ISNUMBER(U54),ISNUMBER(V54)),ROUND((U54+V54)/2,0),IF(ISNUMBER(U54),U54,IF(ISNUMBER(V54),V54,"NR")))</f>
        <v>21945</v>
      </c>
      <c r="X54" s="40" t="s">
        <v>302</v>
      </c>
      <c r="Y54" s="40" t="s">
        <v>301</v>
      </c>
      <c r="Z54" s="40" t="s">
        <v>304</v>
      </c>
      <c r="AA54" s="40" t="s">
        <v>531</v>
      </c>
      <c r="AB54" s="40" t="s">
        <v>306</v>
      </c>
      <c r="AC54" s="40" t="s">
        <v>532</v>
      </c>
      <c r="AD54" s="44" t="s">
        <v>308</v>
      </c>
      <c r="AE54" s="44" t="s">
        <v>317</v>
      </c>
      <c r="AF54" s="44" t="s">
        <v>533</v>
      </c>
      <c r="AG54" s="44" t="s">
        <v>534</v>
      </c>
      <c r="AH54" s="51" t="s">
        <v>9</v>
      </c>
      <c r="AI54" s="46"/>
    </row>
    <row r="55" customFormat="false" ht="35.05" hidden="false" customHeight="false" outlineLevel="0" collapsed="false">
      <c r="A55" s="52" t="s">
        <v>535</v>
      </c>
      <c r="B55" s="53" t="s">
        <v>189</v>
      </c>
      <c r="C55" s="38" t="n">
        <f aca="false">IF(OR($R55="All",$R55="Not specified",ISNUMBER(SEARCH("K (",$R55))),$P55,1)</f>
        <v>0.03</v>
      </c>
      <c r="D55" s="38" t="n">
        <f aca="false">IF(OR($R55="All",$R55="Not specified",ISNUMBER(SEARCH("A (",$R55))),$P55,1)</f>
        <v>0.03</v>
      </c>
      <c r="E55" s="38" t="n">
        <f aca="false">IF(OR($R55="All",$R55="Not specified",ISNUMBER(SEARCH("B (",$R55))),$P55,1)</f>
        <v>0.03</v>
      </c>
      <c r="F55" s="38" t="n">
        <f aca="false">IF(OR($R55="All",$R55="Not specified",ISNUMBER(SEARCH("C (",$R55))),$P55,1)</f>
        <v>0.03</v>
      </c>
      <c r="G55" s="38" t="n">
        <f aca="false">IF(OR($R55="All",$R55="Not specified",ISNUMBER(SEARCH("O (",$R55))),$P55,1)</f>
        <v>0.03</v>
      </c>
      <c r="H55" s="39" t="n">
        <v>20</v>
      </c>
      <c r="I55" s="40"/>
      <c r="J55" s="40"/>
      <c r="K55" s="40"/>
      <c r="L55" s="40" t="s">
        <v>536</v>
      </c>
      <c r="M55" s="41" t="s">
        <v>298</v>
      </c>
      <c r="N55" s="39" t="n">
        <v>3</v>
      </c>
      <c r="O55" s="40" t="s">
        <v>73</v>
      </c>
      <c r="P55" s="42" t="n">
        <v>0.03</v>
      </c>
      <c r="Q55" s="43" t="n">
        <f aca="false">IF(ISNUMBER(P55),ROUND((1-P55)*100,1),"NR")</f>
        <v>97</v>
      </c>
      <c r="R55" s="40" t="s">
        <v>72</v>
      </c>
      <c r="S55" s="40" t="s">
        <v>537</v>
      </c>
      <c r="T55" s="40" t="s">
        <v>300</v>
      </c>
      <c r="U55" s="39" t="s">
        <v>301</v>
      </c>
      <c r="V55" s="39" t="s">
        <v>301</v>
      </c>
      <c r="W55" s="39" t="str">
        <f aca="false">IF(AND(ISNUMBER(U55),ISNUMBER(V55)),ROUND((U55+V55)/2,0),IF(ISNUMBER(U55),U55,IF(ISNUMBER(V55),V55,"NR")))</f>
        <v>NR</v>
      </c>
      <c r="X55" s="40" t="s">
        <v>302</v>
      </c>
      <c r="Y55" s="40" t="s">
        <v>301</v>
      </c>
      <c r="Z55" s="40" t="s">
        <v>304</v>
      </c>
      <c r="AA55" s="40" t="s">
        <v>337</v>
      </c>
      <c r="AB55" s="40" t="s">
        <v>306</v>
      </c>
      <c r="AC55" s="40" t="s">
        <v>538</v>
      </c>
      <c r="AD55" s="44" t="s">
        <v>308</v>
      </c>
      <c r="AE55" s="44" t="s">
        <v>317</v>
      </c>
      <c r="AF55" s="44" t="s">
        <v>539</v>
      </c>
      <c r="AG55" s="44" t="s">
        <v>311</v>
      </c>
      <c r="AH55" s="48" t="s">
        <v>13</v>
      </c>
      <c r="AI55" s="46" t="s">
        <v>540</v>
      </c>
    </row>
    <row r="56" customFormat="false" ht="35.05" hidden="false" customHeight="false" outlineLevel="0" collapsed="false">
      <c r="A56" s="52" t="s">
        <v>541</v>
      </c>
      <c r="B56" s="53" t="s">
        <v>189</v>
      </c>
      <c r="C56" s="38" t="n">
        <f aca="false">IF(OR($R56="All",$R56="Not specified",ISNUMBER(SEARCH("K (",$R56))),$P56,1)</f>
        <v>0.47</v>
      </c>
      <c r="D56" s="38" t="n">
        <f aca="false">IF(OR($R56="All",$R56="Not specified",ISNUMBER(SEARCH("A (",$R56))),$P56,1)</f>
        <v>0.47</v>
      </c>
      <c r="E56" s="38" t="n">
        <f aca="false">IF(OR($R56="All",$R56="Not specified",ISNUMBER(SEARCH("B (",$R56))),$P56,1)</f>
        <v>1</v>
      </c>
      <c r="F56" s="38" t="n">
        <f aca="false">IF(OR($R56="All",$R56="Not specified",ISNUMBER(SEARCH("C (",$R56))),$P56,1)</f>
        <v>1</v>
      </c>
      <c r="G56" s="38" t="n">
        <f aca="false">IF(OR($R56="All",$R56="Not specified",ISNUMBER(SEARCH("O (",$R56))),$P56,1)</f>
        <v>1</v>
      </c>
      <c r="H56" s="39" t="n">
        <v>20</v>
      </c>
      <c r="I56" s="40"/>
      <c r="J56" s="40"/>
      <c r="K56" s="40"/>
      <c r="L56" s="40" t="s">
        <v>542</v>
      </c>
      <c r="M56" s="47" t="s">
        <v>329</v>
      </c>
      <c r="N56" s="39" t="n">
        <v>4</v>
      </c>
      <c r="O56" s="40" t="s">
        <v>302</v>
      </c>
      <c r="P56" s="42" t="n">
        <v>0.47</v>
      </c>
      <c r="Q56" s="43" t="n">
        <f aca="false">IF(ISNUMBER(P56),ROUND((1-P56)*100,1),"NR")</f>
        <v>53</v>
      </c>
      <c r="R56" s="40" t="s">
        <v>543</v>
      </c>
      <c r="S56" s="40" t="s">
        <v>514</v>
      </c>
      <c r="T56" s="40" t="s">
        <v>300</v>
      </c>
      <c r="U56" s="39" t="n">
        <v>1508</v>
      </c>
      <c r="V56" s="39" t="n">
        <v>99850</v>
      </c>
      <c r="W56" s="39" t="n">
        <f aca="false">IF(AND(ISNUMBER(U56),ISNUMBER(V56)),ROUND((U56+V56)/2,0),IF(ISNUMBER(U56),U56,IF(ISNUMBER(V56),V56,"NR")))</f>
        <v>50679</v>
      </c>
      <c r="X56" s="40" t="s">
        <v>302</v>
      </c>
      <c r="Y56" s="40" t="s">
        <v>301</v>
      </c>
      <c r="Z56" s="40" t="s">
        <v>304</v>
      </c>
      <c r="AA56" s="40" t="s">
        <v>305</v>
      </c>
      <c r="AB56" s="40" t="s">
        <v>306</v>
      </c>
      <c r="AC56" s="40" t="s">
        <v>544</v>
      </c>
      <c r="AD56" s="44" t="s">
        <v>308</v>
      </c>
      <c r="AE56" s="44" t="s">
        <v>309</v>
      </c>
      <c r="AF56" s="44" t="s">
        <v>516</v>
      </c>
      <c r="AG56" s="44" t="s">
        <v>545</v>
      </c>
      <c r="AH56" s="56" t="s">
        <v>15</v>
      </c>
      <c r="AI56" s="46" t="s">
        <v>546</v>
      </c>
    </row>
    <row r="57" customFormat="false" ht="12.75" hidden="false" customHeight="false" outlineLevel="0" collapsed="false">
      <c r="A57" s="52" t="s">
        <v>547</v>
      </c>
      <c r="B57" s="53" t="s">
        <v>195</v>
      </c>
      <c r="C57" s="38" t="n">
        <f aca="false">IF(OR($R57="All",$R57="Not specified",ISNUMBER(SEARCH("K (",$R57))),$P57,1)</f>
        <v>0.92</v>
      </c>
      <c r="D57" s="38" t="n">
        <f aca="false">IF(OR($R57="All",$R57="Not specified",ISNUMBER(SEARCH("A (",$R57))),$P57,1)</f>
        <v>0.92</v>
      </c>
      <c r="E57" s="38" t="n">
        <f aca="false">IF(OR($R57="All",$R57="Not specified",ISNUMBER(SEARCH("B (",$R57))),$P57,1)</f>
        <v>0.92</v>
      </c>
      <c r="F57" s="38" t="n">
        <f aca="false">IF(OR($R57="All",$R57="Not specified",ISNUMBER(SEARCH("C (",$R57))),$P57,1)</f>
        <v>0.92</v>
      </c>
      <c r="G57" s="38" t="n">
        <f aca="false">IF(OR($R57="All",$R57="Not specified",ISNUMBER(SEARCH("O (",$R57))),$P57,1)</f>
        <v>0.92</v>
      </c>
      <c r="H57" s="39" t="n">
        <v>20</v>
      </c>
      <c r="I57" s="40"/>
      <c r="J57" s="40"/>
      <c r="K57" s="40"/>
      <c r="L57" s="40" t="s">
        <v>548</v>
      </c>
      <c r="M57" s="41" t="s">
        <v>298</v>
      </c>
      <c r="N57" s="39" t="s">
        <v>301</v>
      </c>
      <c r="O57" s="40" t="s">
        <v>73</v>
      </c>
      <c r="P57" s="42" t="n">
        <v>0.92</v>
      </c>
      <c r="Q57" s="43" t="n">
        <f aca="false">IF(ISNUMBER(P57),ROUND((1-P57)*100,1),"NR")</f>
        <v>8</v>
      </c>
      <c r="R57" s="40" t="s">
        <v>321</v>
      </c>
      <c r="S57" s="40" t="s">
        <v>341</v>
      </c>
      <c r="T57" s="40" t="s">
        <v>419</v>
      </c>
      <c r="U57" s="39" t="s">
        <v>301</v>
      </c>
      <c r="V57" s="39" t="s">
        <v>301</v>
      </c>
      <c r="W57" s="39" t="str">
        <f aca="false">IF(AND(ISNUMBER(U57),ISNUMBER(V57)),ROUND((U57+V57)/2,0),IF(ISNUMBER(U57),U57,IF(ISNUMBER(V57),V57,"NR")))</f>
        <v>NR</v>
      </c>
      <c r="X57" s="40" t="s">
        <v>302</v>
      </c>
      <c r="Y57" s="40" t="s">
        <v>301</v>
      </c>
      <c r="Z57" s="40" t="s">
        <v>549</v>
      </c>
      <c r="AA57" s="40" t="s">
        <v>550</v>
      </c>
      <c r="AB57" s="40" t="s">
        <v>551</v>
      </c>
      <c r="AC57" s="40" t="s">
        <v>552</v>
      </c>
      <c r="AD57" s="44" t="s">
        <v>308</v>
      </c>
      <c r="AE57" s="44" t="s">
        <v>302</v>
      </c>
      <c r="AF57" s="44" t="s">
        <v>342</v>
      </c>
      <c r="AG57" s="44" t="s">
        <v>318</v>
      </c>
      <c r="AH57" s="51" t="s">
        <v>9</v>
      </c>
      <c r="AI57" s="46"/>
    </row>
    <row r="58" customFormat="false" ht="12.75" hidden="false" customHeight="false" outlineLevel="0" collapsed="false">
      <c r="A58" s="52" t="s">
        <v>553</v>
      </c>
      <c r="B58" s="53" t="s">
        <v>195</v>
      </c>
      <c r="C58" s="38" t="n">
        <f aca="false">IF(OR($R58="All",$R58="Not specified",ISNUMBER(SEARCH("K (",$R58))),$P58,1)</f>
        <v>0.88</v>
      </c>
      <c r="D58" s="38" t="n">
        <f aca="false">IF(OR($R58="All",$R58="Not specified",ISNUMBER(SEARCH("A (",$R58))),$P58,1)</f>
        <v>0.88</v>
      </c>
      <c r="E58" s="38" t="n">
        <f aca="false">IF(OR($R58="All",$R58="Not specified",ISNUMBER(SEARCH("B (",$R58))),$P58,1)</f>
        <v>0.88</v>
      </c>
      <c r="F58" s="38" t="n">
        <f aca="false">IF(OR($R58="All",$R58="Not specified",ISNUMBER(SEARCH("C (",$R58))),$P58,1)</f>
        <v>0.88</v>
      </c>
      <c r="G58" s="38" t="n">
        <f aca="false">IF(OR($R58="All",$R58="Not specified",ISNUMBER(SEARCH("O (",$R58))),$P58,1)</f>
        <v>0.88</v>
      </c>
      <c r="H58" s="39" t="n">
        <v>20</v>
      </c>
      <c r="I58" s="40"/>
      <c r="J58" s="40"/>
      <c r="K58" s="40"/>
      <c r="L58" s="40" t="s">
        <v>554</v>
      </c>
      <c r="M58" s="41" t="s">
        <v>298</v>
      </c>
      <c r="N58" s="39" t="s">
        <v>301</v>
      </c>
      <c r="O58" s="40" t="s">
        <v>73</v>
      </c>
      <c r="P58" s="42" t="n">
        <v>0.88</v>
      </c>
      <c r="Q58" s="43" t="n">
        <f aca="false">IF(ISNUMBER(P58),ROUND((1-P58)*100,1),"NR")</f>
        <v>12</v>
      </c>
      <c r="R58" s="40" t="s">
        <v>321</v>
      </c>
      <c r="S58" s="40" t="s">
        <v>341</v>
      </c>
      <c r="T58" s="40" t="s">
        <v>419</v>
      </c>
      <c r="U58" s="39" t="s">
        <v>301</v>
      </c>
      <c r="V58" s="39" t="s">
        <v>301</v>
      </c>
      <c r="W58" s="39" t="str">
        <f aca="false">IF(AND(ISNUMBER(U58),ISNUMBER(V58)),ROUND((U58+V58)/2,0),IF(ISNUMBER(U58),U58,IF(ISNUMBER(V58),V58,"NR")))</f>
        <v>NR</v>
      </c>
      <c r="X58" s="40" t="s">
        <v>302</v>
      </c>
      <c r="Y58" s="40" t="s">
        <v>301</v>
      </c>
      <c r="Z58" s="40" t="s">
        <v>549</v>
      </c>
      <c r="AA58" s="40" t="s">
        <v>550</v>
      </c>
      <c r="AB58" s="40" t="s">
        <v>551</v>
      </c>
      <c r="AC58" s="40" t="s">
        <v>552</v>
      </c>
      <c r="AD58" s="44" t="s">
        <v>308</v>
      </c>
      <c r="AE58" s="44" t="s">
        <v>302</v>
      </c>
      <c r="AF58" s="44" t="s">
        <v>342</v>
      </c>
      <c r="AG58" s="44" t="s">
        <v>318</v>
      </c>
      <c r="AH58" s="51" t="s">
        <v>9</v>
      </c>
      <c r="AI58" s="46"/>
    </row>
    <row r="59" customFormat="false" ht="46.25" hidden="false" customHeight="false" outlineLevel="0" collapsed="false">
      <c r="A59" s="52" t="s">
        <v>555</v>
      </c>
      <c r="B59" s="53" t="s">
        <v>195</v>
      </c>
      <c r="C59" s="38" t="n">
        <f aca="false">IF(OR($R59="All",$R59="Not specified",ISNUMBER(SEARCH("K (",$R59))),$P59,1)</f>
        <v>0.858</v>
      </c>
      <c r="D59" s="38" t="n">
        <f aca="false">IF(OR($R59="All",$R59="Not specified",ISNUMBER(SEARCH("A (",$R59))),$P59,1)</f>
        <v>0.858</v>
      </c>
      <c r="E59" s="38" t="n">
        <f aca="false">IF(OR($R59="All",$R59="Not specified",ISNUMBER(SEARCH("B (",$R59))),$P59,1)</f>
        <v>0.858</v>
      </c>
      <c r="F59" s="38" t="n">
        <f aca="false">IF(OR($R59="All",$R59="Not specified",ISNUMBER(SEARCH("C (",$R59))),$P59,1)</f>
        <v>0.858</v>
      </c>
      <c r="G59" s="38" t="n">
        <f aca="false">IF(OR($R59="All",$R59="Not specified",ISNUMBER(SEARCH("O (",$R59))),$P59,1)</f>
        <v>1</v>
      </c>
      <c r="H59" s="39" t="n">
        <v>20</v>
      </c>
      <c r="I59" s="40"/>
      <c r="J59" s="40"/>
      <c r="K59" s="40"/>
      <c r="L59" s="40" t="s">
        <v>556</v>
      </c>
      <c r="M59" s="47" t="s">
        <v>329</v>
      </c>
      <c r="N59" s="39" t="n">
        <v>4</v>
      </c>
      <c r="O59" s="40" t="s">
        <v>73</v>
      </c>
      <c r="P59" s="42" t="n">
        <v>0.858</v>
      </c>
      <c r="Q59" s="43" t="n">
        <f aca="false">IF(ISNUMBER(P59),ROUND((1-P59)*100,1),"NR")</f>
        <v>14.2</v>
      </c>
      <c r="R59" s="40" t="s">
        <v>299</v>
      </c>
      <c r="S59" s="40" t="s">
        <v>514</v>
      </c>
      <c r="T59" s="40" t="s">
        <v>300</v>
      </c>
      <c r="U59" s="39" t="s">
        <v>301</v>
      </c>
      <c r="V59" s="39" t="s">
        <v>301</v>
      </c>
      <c r="W59" s="39" t="str">
        <f aca="false">IF(AND(ISNUMBER(U59),ISNUMBER(V59)),ROUND((U59+V59)/2,0),IF(ISNUMBER(U59),U59,IF(ISNUMBER(V59),V59,"NR")))</f>
        <v>NR</v>
      </c>
      <c r="X59" s="40" t="s">
        <v>302</v>
      </c>
      <c r="Y59" s="40" t="s">
        <v>301</v>
      </c>
      <c r="Z59" s="40" t="s">
        <v>304</v>
      </c>
      <c r="AA59" s="40" t="s">
        <v>365</v>
      </c>
      <c r="AB59" s="40" t="s">
        <v>325</v>
      </c>
      <c r="AC59" s="40" t="s">
        <v>557</v>
      </c>
      <c r="AD59" s="44" t="s">
        <v>308</v>
      </c>
      <c r="AE59" s="44" t="s">
        <v>309</v>
      </c>
      <c r="AF59" s="44" t="s">
        <v>516</v>
      </c>
      <c r="AG59" s="44" t="s">
        <v>311</v>
      </c>
      <c r="AH59" s="56" t="s">
        <v>15</v>
      </c>
      <c r="AI59" s="46" t="s">
        <v>558</v>
      </c>
    </row>
    <row r="60" customFormat="false" ht="35.05" hidden="false" customHeight="false" outlineLevel="0" collapsed="false">
      <c r="A60" s="52" t="s">
        <v>559</v>
      </c>
      <c r="B60" s="53" t="s">
        <v>200</v>
      </c>
      <c r="C60" s="38" t="n">
        <f aca="false">IF(OR($R60="All",$R60="Not specified",ISNUMBER(SEARCH("K (",$R60))),$P60,1)</f>
        <v>0.53</v>
      </c>
      <c r="D60" s="38" t="n">
        <f aca="false">IF(OR($R60="All",$R60="Not specified",ISNUMBER(SEARCH("A (",$R60))),$P60,1)</f>
        <v>0.53</v>
      </c>
      <c r="E60" s="38" t="n">
        <f aca="false">IF(OR($R60="All",$R60="Not specified",ISNUMBER(SEARCH("B (",$R60))),$P60,1)</f>
        <v>1</v>
      </c>
      <c r="F60" s="38" t="n">
        <f aca="false">IF(OR($R60="All",$R60="Not specified",ISNUMBER(SEARCH("C (",$R60))),$P60,1)</f>
        <v>1</v>
      </c>
      <c r="G60" s="38" t="n">
        <f aca="false">IF(OR($R60="All",$R60="Not specified",ISNUMBER(SEARCH("O (",$R60))),$P60,1)</f>
        <v>1</v>
      </c>
      <c r="H60" s="39" t="n">
        <v>20</v>
      </c>
      <c r="I60" s="40"/>
      <c r="J60" s="40"/>
      <c r="K60" s="40"/>
      <c r="L60" s="40" t="s">
        <v>560</v>
      </c>
      <c r="M60" s="47" t="s">
        <v>329</v>
      </c>
      <c r="N60" s="39" t="n">
        <v>4</v>
      </c>
      <c r="O60" s="40" t="s">
        <v>321</v>
      </c>
      <c r="P60" s="42" t="n">
        <v>0.53</v>
      </c>
      <c r="Q60" s="43" t="n">
        <f aca="false">IF(ISNUMBER(P60),ROUND((1-P60)*100,1),"NR")</f>
        <v>47</v>
      </c>
      <c r="R60" s="40" t="s">
        <v>543</v>
      </c>
      <c r="S60" s="40" t="s">
        <v>561</v>
      </c>
      <c r="T60" s="40" t="s">
        <v>300</v>
      </c>
      <c r="U60" s="39" t="n">
        <v>35000</v>
      </c>
      <c r="V60" s="39" t="n">
        <v>104600</v>
      </c>
      <c r="W60" s="39" t="n">
        <f aca="false">IF(AND(ISNUMBER(U60),ISNUMBER(V60)),ROUND((U60+V60)/2,0),IF(ISNUMBER(U60),U60,IF(ISNUMBER(V60),V60,"NR")))</f>
        <v>69800</v>
      </c>
      <c r="X60" s="40" t="s">
        <v>302</v>
      </c>
      <c r="Y60" s="40" t="s">
        <v>562</v>
      </c>
      <c r="Z60" s="40" t="s">
        <v>304</v>
      </c>
      <c r="AA60" s="40" t="s">
        <v>405</v>
      </c>
      <c r="AB60" s="40" t="s">
        <v>306</v>
      </c>
      <c r="AC60" s="40" t="s">
        <v>346</v>
      </c>
      <c r="AD60" s="44" t="s">
        <v>308</v>
      </c>
      <c r="AE60" s="44" t="s">
        <v>309</v>
      </c>
      <c r="AF60" s="44" t="s">
        <v>563</v>
      </c>
      <c r="AG60" s="44" t="s">
        <v>564</v>
      </c>
      <c r="AH60" s="48" t="s">
        <v>13</v>
      </c>
      <c r="AI60" s="46" t="s">
        <v>565</v>
      </c>
    </row>
    <row r="61" customFormat="false" ht="35.05" hidden="false" customHeight="false" outlineLevel="0" collapsed="false">
      <c r="A61" s="52" t="s">
        <v>566</v>
      </c>
      <c r="B61" s="53" t="s">
        <v>200</v>
      </c>
      <c r="C61" s="38" t="n">
        <f aca="false">IF(OR($R61="All",$R61="Not specified",ISNUMBER(SEARCH("K (",$R61))),$P61,1)</f>
        <v>0.6</v>
      </c>
      <c r="D61" s="38" t="n">
        <f aca="false">IF(OR($R61="All",$R61="Not specified",ISNUMBER(SEARCH("A (",$R61))),$P61,1)</f>
        <v>0.6</v>
      </c>
      <c r="E61" s="38" t="n">
        <f aca="false">IF(OR($R61="All",$R61="Not specified",ISNUMBER(SEARCH("B (",$R61))),$P61,1)</f>
        <v>0.6</v>
      </c>
      <c r="F61" s="38" t="n">
        <f aca="false">IF(OR($R61="All",$R61="Not specified",ISNUMBER(SEARCH("C (",$R61))),$P61,1)</f>
        <v>1</v>
      </c>
      <c r="G61" s="38" t="n">
        <f aca="false">IF(OR($R61="All",$R61="Not specified",ISNUMBER(SEARCH("O (",$R61))),$P61,1)</f>
        <v>1</v>
      </c>
      <c r="H61" s="39" t="n">
        <v>20</v>
      </c>
      <c r="I61" s="40"/>
      <c r="J61" s="40"/>
      <c r="K61" s="40"/>
      <c r="L61" s="40" t="s">
        <v>567</v>
      </c>
      <c r="M61" s="47" t="s">
        <v>329</v>
      </c>
      <c r="N61" s="39" t="n">
        <v>4</v>
      </c>
      <c r="O61" s="40" t="s">
        <v>321</v>
      </c>
      <c r="P61" s="42" t="n">
        <v>0.6</v>
      </c>
      <c r="Q61" s="43" t="n">
        <f aca="false">IF(ISNUMBER(P61),ROUND((1-P61)*100,1),"NR")</f>
        <v>40</v>
      </c>
      <c r="R61" s="40" t="s">
        <v>568</v>
      </c>
      <c r="S61" s="40" t="s">
        <v>561</v>
      </c>
      <c r="T61" s="40" t="s">
        <v>300</v>
      </c>
      <c r="U61" s="39" t="n">
        <v>35000</v>
      </c>
      <c r="V61" s="39" t="n">
        <v>104600</v>
      </c>
      <c r="W61" s="39" t="n">
        <f aca="false">IF(AND(ISNUMBER(U61),ISNUMBER(V61)),ROUND((U61+V61)/2,0),IF(ISNUMBER(U61),U61,IF(ISNUMBER(V61),V61,"NR")))</f>
        <v>69800</v>
      </c>
      <c r="X61" s="40" t="s">
        <v>302</v>
      </c>
      <c r="Y61" s="40" t="s">
        <v>562</v>
      </c>
      <c r="Z61" s="40" t="s">
        <v>304</v>
      </c>
      <c r="AA61" s="40" t="s">
        <v>405</v>
      </c>
      <c r="AB61" s="40" t="s">
        <v>306</v>
      </c>
      <c r="AC61" s="40" t="s">
        <v>346</v>
      </c>
      <c r="AD61" s="44" t="s">
        <v>308</v>
      </c>
      <c r="AE61" s="44" t="s">
        <v>309</v>
      </c>
      <c r="AF61" s="44" t="s">
        <v>563</v>
      </c>
      <c r="AG61" s="44" t="s">
        <v>564</v>
      </c>
      <c r="AH61" s="48" t="s">
        <v>13</v>
      </c>
      <c r="AI61" s="46" t="s">
        <v>565</v>
      </c>
    </row>
    <row r="62" customFormat="false" ht="35.05" hidden="false" customHeight="false" outlineLevel="0" collapsed="false">
      <c r="A62" s="52" t="s">
        <v>569</v>
      </c>
      <c r="B62" s="53" t="s">
        <v>205</v>
      </c>
      <c r="C62" s="38" t="n">
        <f aca="false">IF(OR($R62="All",$R62="Not specified",ISNUMBER(SEARCH("K (",$R62))),$P62,1)</f>
        <v>0.892</v>
      </c>
      <c r="D62" s="38" t="n">
        <f aca="false">IF(OR($R62="All",$R62="Not specified",ISNUMBER(SEARCH("A (",$R62))),$P62,1)</f>
        <v>0.892</v>
      </c>
      <c r="E62" s="38" t="n">
        <f aca="false">IF(OR($R62="All",$R62="Not specified",ISNUMBER(SEARCH("B (",$R62))),$P62,1)</f>
        <v>0.892</v>
      </c>
      <c r="F62" s="38" t="n">
        <f aca="false">IF(OR($R62="All",$R62="Not specified",ISNUMBER(SEARCH("C (",$R62))),$P62,1)</f>
        <v>1</v>
      </c>
      <c r="G62" s="38" t="n">
        <f aca="false">IF(OR($R62="All",$R62="Not specified",ISNUMBER(SEARCH("O (",$R62))),$P62,1)</f>
        <v>1</v>
      </c>
      <c r="H62" s="39" t="n">
        <v>20</v>
      </c>
      <c r="I62" s="40"/>
      <c r="J62" s="40"/>
      <c r="K62" s="40"/>
      <c r="L62" s="40" t="s">
        <v>570</v>
      </c>
      <c r="M62" s="41" t="s">
        <v>298</v>
      </c>
      <c r="N62" s="39" t="n">
        <v>5</v>
      </c>
      <c r="O62" s="40" t="s">
        <v>73</v>
      </c>
      <c r="P62" s="42" t="n">
        <v>0.892</v>
      </c>
      <c r="Q62" s="43" t="n">
        <f aca="false">IF(ISNUMBER(P62),ROUND((1-P62)*100,1),"NR")</f>
        <v>10.8</v>
      </c>
      <c r="R62" s="40" t="s">
        <v>568</v>
      </c>
      <c r="S62" s="40" t="s">
        <v>72</v>
      </c>
      <c r="T62" s="40" t="s">
        <v>314</v>
      </c>
      <c r="U62" s="39" t="n">
        <v>10</v>
      </c>
      <c r="V62" s="39" t="n">
        <v>18600</v>
      </c>
      <c r="W62" s="39" t="n">
        <f aca="false">IF(AND(ISNUMBER(U62),ISNUMBER(V62)),ROUND((U62+V62)/2,0),IF(ISNUMBER(U62),U62,IF(ISNUMBER(V62),V62,"NR")))</f>
        <v>9305</v>
      </c>
      <c r="X62" s="40" t="s">
        <v>302</v>
      </c>
      <c r="Y62" s="40" t="s">
        <v>301</v>
      </c>
      <c r="Z62" s="40" t="s">
        <v>304</v>
      </c>
      <c r="AA62" s="40" t="s">
        <v>405</v>
      </c>
      <c r="AB62" s="40" t="s">
        <v>306</v>
      </c>
      <c r="AC62" s="40" t="s">
        <v>571</v>
      </c>
      <c r="AD62" s="44" t="s">
        <v>308</v>
      </c>
      <c r="AE62" s="44" t="s">
        <v>309</v>
      </c>
      <c r="AF62" s="44" t="s">
        <v>310</v>
      </c>
      <c r="AG62" s="44" t="s">
        <v>572</v>
      </c>
      <c r="AH62" s="45" t="s">
        <v>11</v>
      </c>
      <c r="AI62" s="46" t="s">
        <v>12</v>
      </c>
    </row>
    <row r="63" customFormat="false" ht="35.05" hidden="false" customHeight="false" outlineLevel="0" collapsed="false">
      <c r="A63" s="52" t="s">
        <v>569</v>
      </c>
      <c r="B63" s="53" t="s">
        <v>205</v>
      </c>
      <c r="C63" s="38" t="n">
        <f aca="false">IF(OR($R63="All",$R63="Not specified",ISNUMBER(SEARCH("K (",$R63))),$P63,1)</f>
        <v>0.643</v>
      </c>
      <c r="D63" s="38" t="n">
        <f aca="false">IF(OR($R63="All",$R63="Not specified",ISNUMBER(SEARCH("A (",$R63))),$P63,1)</f>
        <v>0.643</v>
      </c>
      <c r="E63" s="38" t="n">
        <f aca="false">IF(OR($R63="All",$R63="Not specified",ISNUMBER(SEARCH("B (",$R63))),$P63,1)</f>
        <v>0.643</v>
      </c>
      <c r="F63" s="38" t="n">
        <f aca="false">IF(OR($R63="All",$R63="Not specified",ISNUMBER(SEARCH("C (",$R63))),$P63,1)</f>
        <v>0.643</v>
      </c>
      <c r="G63" s="38" t="n">
        <f aca="false">IF(OR($R63="All",$R63="Not specified",ISNUMBER(SEARCH("O (",$R63))),$P63,1)</f>
        <v>0.643</v>
      </c>
      <c r="H63" s="39" t="n">
        <v>20</v>
      </c>
      <c r="I63" s="40"/>
      <c r="J63" s="40"/>
      <c r="K63" s="40"/>
      <c r="L63" s="40" t="s">
        <v>573</v>
      </c>
      <c r="M63" s="47" t="s">
        <v>329</v>
      </c>
      <c r="N63" s="39" t="n">
        <v>5</v>
      </c>
      <c r="O63" s="40" t="s">
        <v>73</v>
      </c>
      <c r="P63" s="42" t="n">
        <v>0.643</v>
      </c>
      <c r="Q63" s="43" t="n">
        <f aca="false">IF(ISNUMBER(P63),ROUND((1-P63)*100,1),"NR")</f>
        <v>35.7</v>
      </c>
      <c r="R63" s="40" t="s">
        <v>72</v>
      </c>
      <c r="S63" s="40" t="s">
        <v>502</v>
      </c>
      <c r="T63" s="40" t="s">
        <v>321</v>
      </c>
      <c r="U63" s="39" t="s">
        <v>301</v>
      </c>
      <c r="V63" s="39" t="s">
        <v>301</v>
      </c>
      <c r="W63" s="39" t="str">
        <f aca="false">IF(AND(ISNUMBER(U63),ISNUMBER(V63)),ROUND((U63+V63)/2,0),IF(ISNUMBER(U63),U63,IF(ISNUMBER(V63),V63,"NR")))</f>
        <v>NR</v>
      </c>
      <c r="X63" s="40" t="s">
        <v>302</v>
      </c>
      <c r="Y63" s="40" t="s">
        <v>301</v>
      </c>
      <c r="Z63" s="40" t="s">
        <v>304</v>
      </c>
      <c r="AA63" s="40" t="s">
        <v>355</v>
      </c>
      <c r="AB63" s="40" t="s">
        <v>306</v>
      </c>
      <c r="AC63" s="40" t="s">
        <v>574</v>
      </c>
      <c r="AD63" s="44" t="s">
        <v>308</v>
      </c>
      <c r="AE63" s="44" t="s">
        <v>317</v>
      </c>
      <c r="AF63" s="44" t="s">
        <v>506</v>
      </c>
      <c r="AG63" s="44" t="s">
        <v>318</v>
      </c>
      <c r="AH63" s="51" t="s">
        <v>9</v>
      </c>
      <c r="AI63" s="46"/>
    </row>
    <row r="64" customFormat="false" ht="46.25" hidden="false" customHeight="false" outlineLevel="0" collapsed="false">
      <c r="A64" s="52" t="s">
        <v>575</v>
      </c>
      <c r="B64" s="53" t="s">
        <v>207</v>
      </c>
      <c r="C64" s="38" t="n">
        <f aca="false">IF(OR($R64="All",$R64="Not specified",ISNUMBER(SEARCH("K (",$R64))),$P64,1)</f>
        <v>0.635</v>
      </c>
      <c r="D64" s="38" t="n">
        <f aca="false">IF(OR($R64="All",$R64="Not specified",ISNUMBER(SEARCH("A (",$R64))),$P64,1)</f>
        <v>0.635</v>
      </c>
      <c r="E64" s="38" t="n">
        <f aca="false">IF(OR($R64="All",$R64="Not specified",ISNUMBER(SEARCH("B (",$R64))),$P64,1)</f>
        <v>0.635</v>
      </c>
      <c r="F64" s="38" t="n">
        <f aca="false">IF(OR($R64="All",$R64="Not specified",ISNUMBER(SEARCH("C (",$R64))),$P64,1)</f>
        <v>0.635</v>
      </c>
      <c r="G64" s="38" t="n">
        <f aca="false">IF(OR($R64="All",$R64="Not specified",ISNUMBER(SEARCH("O (",$R64))),$P64,1)</f>
        <v>1</v>
      </c>
      <c r="H64" s="39" t="n">
        <v>20</v>
      </c>
      <c r="I64" s="40"/>
      <c r="J64" s="40"/>
      <c r="K64" s="40"/>
      <c r="L64" s="40" t="s">
        <v>576</v>
      </c>
      <c r="M64" s="41" t="s">
        <v>298</v>
      </c>
      <c r="N64" s="39" t="n">
        <v>4</v>
      </c>
      <c r="O64" s="40" t="s">
        <v>73</v>
      </c>
      <c r="P64" s="42" t="n">
        <v>0.635</v>
      </c>
      <c r="Q64" s="43" t="n">
        <f aca="false">IF(ISNUMBER(P64),ROUND((1-P64)*100,1),"NR")</f>
        <v>36.5</v>
      </c>
      <c r="R64" s="40" t="s">
        <v>299</v>
      </c>
      <c r="S64" s="40" t="s">
        <v>72</v>
      </c>
      <c r="T64" s="40" t="s">
        <v>321</v>
      </c>
      <c r="U64" s="39" t="s">
        <v>301</v>
      </c>
      <c r="V64" s="39" t="s">
        <v>301</v>
      </c>
      <c r="W64" s="39" t="str">
        <f aca="false">IF(AND(ISNUMBER(U64),ISNUMBER(V64)),ROUND((U64+V64)/2,0),IF(ISNUMBER(U64),U64,IF(ISNUMBER(V64),V64,"NR")))</f>
        <v>NR</v>
      </c>
      <c r="X64" s="40" t="s">
        <v>302</v>
      </c>
      <c r="Y64" s="40" t="s">
        <v>301</v>
      </c>
      <c r="Z64" s="40" t="s">
        <v>304</v>
      </c>
      <c r="AA64" s="40" t="s">
        <v>355</v>
      </c>
      <c r="AB64" s="40" t="s">
        <v>306</v>
      </c>
      <c r="AC64" s="40" t="s">
        <v>577</v>
      </c>
      <c r="AD64" s="44" t="s">
        <v>308</v>
      </c>
      <c r="AE64" s="44" t="s">
        <v>309</v>
      </c>
      <c r="AF64" s="44" t="s">
        <v>310</v>
      </c>
      <c r="AG64" s="44" t="s">
        <v>318</v>
      </c>
      <c r="AH64" s="45" t="s">
        <v>11</v>
      </c>
      <c r="AI64" s="46" t="s">
        <v>12</v>
      </c>
    </row>
    <row r="65" customFormat="false" ht="46.25" hidden="false" customHeight="false" outlineLevel="0" collapsed="false">
      <c r="A65" s="52" t="s">
        <v>578</v>
      </c>
      <c r="B65" s="53" t="s">
        <v>207</v>
      </c>
      <c r="C65" s="38" t="n">
        <f aca="false">IF(OR($R65="All",$R65="Not specified",ISNUMBER(SEARCH("K (",$R65))),$P65,1)</f>
        <v>0.725</v>
      </c>
      <c r="D65" s="38" t="n">
        <f aca="false">IF(OR($R65="All",$R65="Not specified",ISNUMBER(SEARCH("A (",$R65))),$P65,1)</f>
        <v>0.725</v>
      </c>
      <c r="E65" s="38" t="n">
        <f aca="false">IF(OR($R65="All",$R65="Not specified",ISNUMBER(SEARCH("B (",$R65))),$P65,1)</f>
        <v>0.725</v>
      </c>
      <c r="F65" s="38" t="n">
        <f aca="false">IF(OR($R65="All",$R65="Not specified",ISNUMBER(SEARCH("C (",$R65))),$P65,1)</f>
        <v>0.725</v>
      </c>
      <c r="G65" s="38" t="n">
        <f aca="false">IF(OR($R65="All",$R65="Not specified",ISNUMBER(SEARCH("O (",$R65))),$P65,1)</f>
        <v>0.725</v>
      </c>
      <c r="H65" s="39" t="n">
        <v>20</v>
      </c>
      <c r="I65" s="40"/>
      <c r="J65" s="40"/>
      <c r="K65" s="40"/>
      <c r="L65" s="40" t="s">
        <v>579</v>
      </c>
      <c r="M65" s="47" t="s">
        <v>329</v>
      </c>
      <c r="N65" s="39" t="n">
        <v>5</v>
      </c>
      <c r="O65" s="40" t="s">
        <v>73</v>
      </c>
      <c r="P65" s="42" t="n">
        <v>0.725</v>
      </c>
      <c r="Q65" s="43" t="n">
        <f aca="false">IF(ISNUMBER(P65),ROUND((1-P65)*100,1),"NR")</f>
        <v>27.5</v>
      </c>
      <c r="R65" s="40" t="s">
        <v>72</v>
      </c>
      <c r="S65" s="40" t="s">
        <v>72</v>
      </c>
      <c r="T65" s="40" t="s">
        <v>72</v>
      </c>
      <c r="U65" s="39" t="s">
        <v>301</v>
      </c>
      <c r="V65" s="39" t="s">
        <v>301</v>
      </c>
      <c r="W65" s="39" t="str">
        <f aca="false">IF(AND(ISNUMBER(U65),ISNUMBER(V65)),ROUND((U65+V65)/2,0),IF(ISNUMBER(U65),U65,IF(ISNUMBER(V65),V65,"NR")))</f>
        <v>NR</v>
      </c>
      <c r="X65" s="40" t="s">
        <v>302</v>
      </c>
      <c r="Y65" s="40" t="s">
        <v>301</v>
      </c>
      <c r="Z65" s="40" t="s">
        <v>304</v>
      </c>
      <c r="AA65" s="40" t="s">
        <v>331</v>
      </c>
      <c r="AB65" s="40" t="s">
        <v>306</v>
      </c>
      <c r="AC65" s="40" t="s">
        <v>580</v>
      </c>
      <c r="AD65" s="44" t="s">
        <v>308</v>
      </c>
      <c r="AE65" s="44" t="s">
        <v>317</v>
      </c>
      <c r="AF65" s="44" t="s">
        <v>310</v>
      </c>
      <c r="AG65" s="44" t="s">
        <v>318</v>
      </c>
      <c r="AH65" s="45" t="s">
        <v>11</v>
      </c>
      <c r="AI65" s="46" t="s">
        <v>12</v>
      </c>
    </row>
    <row r="66" customFormat="false" ht="35.05" hidden="false" customHeight="false" outlineLevel="0" collapsed="false">
      <c r="A66" s="52" t="s">
        <v>581</v>
      </c>
      <c r="B66" s="53" t="s">
        <v>207</v>
      </c>
      <c r="C66" s="38" t="n">
        <f aca="false">IF(OR($R66="All",$R66="Not specified",ISNUMBER(SEARCH("K (",$R66))),$P66,1)</f>
        <v>0.66</v>
      </c>
      <c r="D66" s="38" t="n">
        <f aca="false">IF(OR($R66="All",$R66="Not specified",ISNUMBER(SEARCH("A (",$R66))),$P66,1)</f>
        <v>0.66</v>
      </c>
      <c r="E66" s="38" t="n">
        <f aca="false">IF(OR($R66="All",$R66="Not specified",ISNUMBER(SEARCH("B (",$R66))),$P66,1)</f>
        <v>1</v>
      </c>
      <c r="F66" s="38" t="n">
        <f aca="false">IF(OR($R66="All",$R66="Not specified",ISNUMBER(SEARCH("C (",$R66))),$P66,1)</f>
        <v>1</v>
      </c>
      <c r="G66" s="38" t="n">
        <f aca="false">IF(OR($R66="All",$R66="Not specified",ISNUMBER(SEARCH("O (",$R66))),$P66,1)</f>
        <v>1</v>
      </c>
      <c r="H66" s="39" t="n">
        <v>20</v>
      </c>
      <c r="I66" s="40"/>
      <c r="J66" s="40"/>
      <c r="K66" s="40"/>
      <c r="L66" s="40" t="s">
        <v>582</v>
      </c>
      <c r="M66" s="47" t="s">
        <v>329</v>
      </c>
      <c r="N66" s="39" t="n">
        <v>4</v>
      </c>
      <c r="O66" s="40" t="s">
        <v>73</v>
      </c>
      <c r="P66" s="42" t="n">
        <v>0.66</v>
      </c>
      <c r="Q66" s="43" t="n">
        <f aca="false">IF(ISNUMBER(P66),ROUND((1-P66)*100,1),"NR")</f>
        <v>34</v>
      </c>
      <c r="R66" s="40" t="s">
        <v>543</v>
      </c>
      <c r="S66" s="40" t="s">
        <v>72</v>
      </c>
      <c r="T66" s="40" t="s">
        <v>321</v>
      </c>
      <c r="U66" s="39" t="s">
        <v>301</v>
      </c>
      <c r="V66" s="39" t="s">
        <v>301</v>
      </c>
      <c r="W66" s="39" t="str">
        <f aca="false">IF(AND(ISNUMBER(U66),ISNUMBER(V66)),ROUND((U66+V66)/2,0),IF(ISNUMBER(U66),U66,IF(ISNUMBER(V66),V66,"NR")))</f>
        <v>NR</v>
      </c>
      <c r="X66" s="40" t="s">
        <v>302</v>
      </c>
      <c r="Y66" s="40" t="s">
        <v>301</v>
      </c>
      <c r="Z66" s="40" t="s">
        <v>304</v>
      </c>
      <c r="AA66" s="40" t="s">
        <v>583</v>
      </c>
      <c r="AB66" s="40" t="s">
        <v>306</v>
      </c>
      <c r="AC66" s="40"/>
      <c r="AD66" s="44" t="s">
        <v>308</v>
      </c>
      <c r="AE66" s="44" t="s">
        <v>309</v>
      </c>
      <c r="AF66" s="44" t="s">
        <v>310</v>
      </c>
      <c r="AG66" s="44" t="s">
        <v>318</v>
      </c>
      <c r="AH66" s="45" t="s">
        <v>11</v>
      </c>
      <c r="AI66" s="46" t="s">
        <v>12</v>
      </c>
    </row>
    <row r="67" customFormat="false" ht="35.05" hidden="false" customHeight="false" outlineLevel="0" collapsed="false">
      <c r="A67" s="52" t="s">
        <v>575</v>
      </c>
      <c r="B67" s="53" t="s">
        <v>207</v>
      </c>
      <c r="C67" s="38" t="n">
        <f aca="false">IF(OR($R67="All",$R67="Not specified",ISNUMBER(SEARCH("K (",$R67))),$P67,1)</f>
        <v>0.714</v>
      </c>
      <c r="D67" s="38" t="n">
        <f aca="false">IF(OR($R67="All",$R67="Not specified",ISNUMBER(SEARCH("A (",$R67))),$P67,1)</f>
        <v>0.714</v>
      </c>
      <c r="E67" s="38" t="n">
        <f aca="false">IF(OR($R67="All",$R67="Not specified",ISNUMBER(SEARCH("B (",$R67))),$P67,1)</f>
        <v>0.714</v>
      </c>
      <c r="F67" s="38" t="n">
        <f aca="false">IF(OR($R67="All",$R67="Not specified",ISNUMBER(SEARCH("C (",$R67))),$P67,1)</f>
        <v>0.714</v>
      </c>
      <c r="G67" s="38" t="n">
        <f aca="false">IF(OR($R67="All",$R67="Not specified",ISNUMBER(SEARCH("O (",$R67))),$P67,1)</f>
        <v>0.714</v>
      </c>
      <c r="H67" s="39" t="n">
        <v>20</v>
      </c>
      <c r="I67" s="40"/>
      <c r="J67" s="40"/>
      <c r="K67" s="40"/>
      <c r="L67" s="40" t="s">
        <v>584</v>
      </c>
      <c r="M67" s="47" t="s">
        <v>329</v>
      </c>
      <c r="N67" s="39" t="n">
        <v>4</v>
      </c>
      <c r="O67" s="40" t="s">
        <v>73</v>
      </c>
      <c r="P67" s="42" t="n">
        <v>0.714</v>
      </c>
      <c r="Q67" s="43" t="n">
        <f aca="false">IF(ISNUMBER(P67),ROUND((1-P67)*100,1),"NR")</f>
        <v>28.6</v>
      </c>
      <c r="R67" s="40" t="s">
        <v>72</v>
      </c>
      <c r="S67" s="40" t="s">
        <v>585</v>
      </c>
      <c r="T67" s="40" t="s">
        <v>321</v>
      </c>
      <c r="U67" s="39" t="s">
        <v>301</v>
      </c>
      <c r="V67" s="39" t="s">
        <v>301</v>
      </c>
      <c r="W67" s="39" t="str">
        <f aca="false">IF(AND(ISNUMBER(U67),ISNUMBER(V67)),ROUND((U67+V67)/2,0),IF(ISNUMBER(U67),U67,IF(ISNUMBER(V67),V67,"NR")))</f>
        <v>NR</v>
      </c>
      <c r="X67" s="40" t="s">
        <v>302</v>
      </c>
      <c r="Y67" s="40" t="s">
        <v>301</v>
      </c>
      <c r="Z67" s="40" t="s">
        <v>304</v>
      </c>
      <c r="AA67" s="40" t="s">
        <v>355</v>
      </c>
      <c r="AB67" s="40" t="s">
        <v>306</v>
      </c>
      <c r="AC67" s="40" t="s">
        <v>577</v>
      </c>
      <c r="AD67" s="44" t="s">
        <v>308</v>
      </c>
      <c r="AE67" s="44" t="s">
        <v>317</v>
      </c>
      <c r="AF67" s="44" t="s">
        <v>586</v>
      </c>
      <c r="AG67" s="44" t="s">
        <v>318</v>
      </c>
      <c r="AH67" s="56" t="s">
        <v>15</v>
      </c>
      <c r="AI67" s="46" t="s">
        <v>587</v>
      </c>
    </row>
    <row r="68" customFormat="false" ht="46.25" hidden="false" customHeight="false" outlineLevel="0" collapsed="false">
      <c r="A68" s="52" t="s">
        <v>588</v>
      </c>
      <c r="B68" s="53" t="s">
        <v>207</v>
      </c>
      <c r="C68" s="38" t="n">
        <f aca="false">IF(OR($R68="All",$R68="Not specified",ISNUMBER(SEARCH("K (",$R68))),$P68,1)</f>
        <v>0.78</v>
      </c>
      <c r="D68" s="38" t="n">
        <f aca="false">IF(OR($R68="All",$R68="Not specified",ISNUMBER(SEARCH("A (",$R68))),$P68,1)</f>
        <v>0.78</v>
      </c>
      <c r="E68" s="38" t="n">
        <f aca="false">IF(OR($R68="All",$R68="Not specified",ISNUMBER(SEARCH("B (",$R68))),$P68,1)</f>
        <v>0.78</v>
      </c>
      <c r="F68" s="38" t="n">
        <f aca="false">IF(OR($R68="All",$R68="Not specified",ISNUMBER(SEARCH("C (",$R68))),$P68,1)</f>
        <v>0.78</v>
      </c>
      <c r="G68" s="38" t="n">
        <f aca="false">IF(OR($R68="All",$R68="Not specified",ISNUMBER(SEARCH("O (",$R68))),$P68,1)</f>
        <v>1</v>
      </c>
      <c r="H68" s="39" t="n">
        <v>20</v>
      </c>
      <c r="I68" s="40"/>
      <c r="J68" s="40"/>
      <c r="K68" s="40"/>
      <c r="L68" s="40" t="s">
        <v>589</v>
      </c>
      <c r="M68" s="47" t="s">
        <v>329</v>
      </c>
      <c r="N68" s="39" t="n">
        <v>4</v>
      </c>
      <c r="O68" s="40" t="s">
        <v>73</v>
      </c>
      <c r="P68" s="42" t="n">
        <v>0.78</v>
      </c>
      <c r="Q68" s="43" t="n">
        <f aca="false">IF(ISNUMBER(P68),ROUND((1-P68)*100,1),"NR")</f>
        <v>22</v>
      </c>
      <c r="R68" s="40" t="s">
        <v>299</v>
      </c>
      <c r="S68" s="40" t="s">
        <v>72</v>
      </c>
      <c r="T68" s="40" t="s">
        <v>300</v>
      </c>
      <c r="U68" s="39" t="s">
        <v>301</v>
      </c>
      <c r="V68" s="39" t="s">
        <v>301</v>
      </c>
      <c r="W68" s="39" t="str">
        <f aca="false">IF(AND(ISNUMBER(U68),ISNUMBER(V68)),ROUND((U68+V68)/2,0),IF(ISNUMBER(U68),U68,IF(ISNUMBER(V68),V68,"NR")))</f>
        <v>NR</v>
      </c>
      <c r="X68" s="40" t="s">
        <v>302</v>
      </c>
      <c r="Y68" s="40" t="s">
        <v>301</v>
      </c>
      <c r="Z68" s="40" t="s">
        <v>304</v>
      </c>
      <c r="AA68" s="40" t="s">
        <v>583</v>
      </c>
      <c r="AB68" s="40" t="s">
        <v>306</v>
      </c>
      <c r="AC68" s="40"/>
      <c r="AD68" s="44" t="s">
        <v>308</v>
      </c>
      <c r="AE68" s="44" t="s">
        <v>309</v>
      </c>
      <c r="AF68" s="44" t="s">
        <v>310</v>
      </c>
      <c r="AG68" s="44" t="s">
        <v>311</v>
      </c>
      <c r="AH68" s="45" t="s">
        <v>11</v>
      </c>
      <c r="AI68" s="46" t="s">
        <v>12</v>
      </c>
    </row>
    <row r="69" customFormat="false" ht="35.05" hidden="false" customHeight="false" outlineLevel="0" collapsed="false">
      <c r="A69" s="57" t="s">
        <v>590</v>
      </c>
      <c r="B69" s="58" t="s">
        <v>210</v>
      </c>
      <c r="C69" s="38" t="n">
        <f aca="false">IF(OR($R69="All",$R69="Not specified",ISNUMBER(SEARCH("K (",$R69))),$P69,1)</f>
        <v>0.85</v>
      </c>
      <c r="D69" s="38" t="n">
        <f aca="false">IF(OR($R69="All",$R69="Not specified",ISNUMBER(SEARCH("A (",$R69))),$P69,1)</f>
        <v>0.85</v>
      </c>
      <c r="E69" s="38" t="n">
        <f aca="false">IF(OR($R69="All",$R69="Not specified",ISNUMBER(SEARCH("B (",$R69))),$P69,1)</f>
        <v>0.85</v>
      </c>
      <c r="F69" s="38" t="n">
        <f aca="false">IF(OR($R69="All",$R69="Not specified",ISNUMBER(SEARCH("C (",$R69))),$P69,1)</f>
        <v>0.85</v>
      </c>
      <c r="G69" s="38" t="n">
        <f aca="false">IF(OR($R69="All",$R69="Not specified",ISNUMBER(SEARCH("O (",$R69))),$P69,1)</f>
        <v>0.85</v>
      </c>
      <c r="H69" s="39" t="n">
        <v>20</v>
      </c>
      <c r="I69" s="40"/>
      <c r="J69" s="40"/>
      <c r="K69" s="40"/>
      <c r="L69" s="40" t="s">
        <v>591</v>
      </c>
      <c r="M69" s="41" t="s">
        <v>298</v>
      </c>
      <c r="N69" s="39" t="n">
        <v>4</v>
      </c>
      <c r="O69" s="40" t="s">
        <v>67</v>
      </c>
      <c r="P69" s="42" t="n">
        <v>0.85</v>
      </c>
      <c r="Q69" s="43" t="n">
        <f aca="false">IF(ISNUMBER(P69),ROUND((1-P69)*100,1),"NR")</f>
        <v>15</v>
      </c>
      <c r="R69" s="40" t="s">
        <v>72</v>
      </c>
      <c r="S69" s="40" t="s">
        <v>72</v>
      </c>
      <c r="T69" s="40" t="s">
        <v>321</v>
      </c>
      <c r="U69" s="39" t="s">
        <v>301</v>
      </c>
      <c r="V69" s="39" t="s">
        <v>301</v>
      </c>
      <c r="W69" s="39" t="str">
        <f aca="false">IF(AND(ISNUMBER(U69),ISNUMBER(V69)),ROUND((U69+V69)/2,0),IF(ISNUMBER(U69),U69,IF(ISNUMBER(V69),V69,"NR")))</f>
        <v>NR</v>
      </c>
      <c r="X69" s="40" t="s">
        <v>377</v>
      </c>
      <c r="Y69" s="40" t="s">
        <v>301</v>
      </c>
      <c r="Z69" s="40" t="s">
        <v>304</v>
      </c>
      <c r="AA69" s="40" t="s">
        <v>583</v>
      </c>
      <c r="AB69" s="40" t="s">
        <v>306</v>
      </c>
      <c r="AC69" s="40" t="s">
        <v>346</v>
      </c>
      <c r="AD69" s="44" t="s">
        <v>308</v>
      </c>
      <c r="AE69" s="44" t="s">
        <v>317</v>
      </c>
      <c r="AF69" s="44" t="s">
        <v>310</v>
      </c>
      <c r="AG69" s="44" t="s">
        <v>318</v>
      </c>
      <c r="AH69" s="45" t="s">
        <v>11</v>
      </c>
      <c r="AI69" s="46" t="s">
        <v>12</v>
      </c>
    </row>
    <row r="70" customFormat="false" ht="35.05" hidden="false" customHeight="false" outlineLevel="0" collapsed="false">
      <c r="A70" s="57" t="s">
        <v>592</v>
      </c>
      <c r="B70" s="58" t="s">
        <v>213</v>
      </c>
      <c r="C70" s="38" t="n">
        <f aca="false">IF(OR($R70="All",$R70="Not specified",ISNUMBER(SEARCH("K (",$R70))),$P70,1)</f>
        <v>1</v>
      </c>
      <c r="D70" s="38" t="n">
        <f aca="false">IF(OR($R70="All",$R70="Not specified",ISNUMBER(SEARCH("A (",$R70))),$P70,1)</f>
        <v>0.75</v>
      </c>
      <c r="E70" s="38" t="n">
        <f aca="false">IF(OR($R70="All",$R70="Not specified",ISNUMBER(SEARCH("B (",$R70))),$P70,1)</f>
        <v>0.75</v>
      </c>
      <c r="F70" s="38" t="n">
        <f aca="false">IF(OR($R70="All",$R70="Not specified",ISNUMBER(SEARCH("C (",$R70))),$P70,1)</f>
        <v>0.75</v>
      </c>
      <c r="G70" s="38" t="n">
        <f aca="false">IF(OR($R70="All",$R70="Not specified",ISNUMBER(SEARCH("O (",$R70))),$P70,1)</f>
        <v>1</v>
      </c>
      <c r="H70" s="39" t="n">
        <v>20</v>
      </c>
      <c r="I70" s="40"/>
      <c r="J70" s="40"/>
      <c r="K70" s="40"/>
      <c r="L70" s="40" t="s">
        <v>593</v>
      </c>
      <c r="M70" s="41" t="s">
        <v>298</v>
      </c>
      <c r="N70" s="39" t="n">
        <v>3</v>
      </c>
      <c r="O70" s="40" t="s">
        <v>370</v>
      </c>
      <c r="P70" s="42" t="n">
        <v>0.75</v>
      </c>
      <c r="Q70" s="43" t="n">
        <f aca="false">IF(ISNUMBER(P70),ROUND((1-P70)*100,1),"NR")</f>
        <v>25</v>
      </c>
      <c r="R70" s="40" t="s">
        <v>396</v>
      </c>
      <c r="S70" s="40" t="s">
        <v>72</v>
      </c>
      <c r="T70" s="40" t="s">
        <v>419</v>
      </c>
      <c r="U70" s="39" t="s">
        <v>301</v>
      </c>
      <c r="V70" s="39" t="s">
        <v>301</v>
      </c>
      <c r="W70" s="39" t="str">
        <f aca="false">IF(AND(ISNUMBER(U70),ISNUMBER(V70)),ROUND((U70+V70)/2,0),IF(ISNUMBER(U70),U70,IF(ISNUMBER(V70),V70,"NR")))</f>
        <v>NR</v>
      </c>
      <c r="X70" s="40" t="s">
        <v>302</v>
      </c>
      <c r="Y70" s="40" t="s">
        <v>301</v>
      </c>
      <c r="Z70" s="40" t="s">
        <v>594</v>
      </c>
      <c r="AA70" s="40" t="s">
        <v>415</v>
      </c>
      <c r="AB70" s="40" t="s">
        <v>399</v>
      </c>
      <c r="AC70" s="40"/>
      <c r="AD70" s="54" t="s">
        <v>595</v>
      </c>
      <c r="AE70" s="54" t="s">
        <v>309</v>
      </c>
      <c r="AF70" s="54" t="s">
        <v>310</v>
      </c>
      <c r="AG70" s="54" t="s">
        <v>318</v>
      </c>
      <c r="AH70" s="55" t="s">
        <v>469</v>
      </c>
      <c r="AI70" s="46" t="s">
        <v>470</v>
      </c>
    </row>
    <row r="71" customFormat="false" ht="35.05" hidden="false" customHeight="false" outlineLevel="0" collapsed="false">
      <c r="A71" s="57" t="s">
        <v>596</v>
      </c>
      <c r="B71" s="58" t="s">
        <v>213</v>
      </c>
      <c r="C71" s="38" t="n">
        <f aca="false">IF(OR($R71="All",$R71="Not specified",ISNUMBER(SEARCH("K (",$R71))),$P71,1)</f>
        <v>1</v>
      </c>
      <c r="D71" s="38" t="n">
        <f aca="false">IF(OR($R71="All",$R71="Not specified",ISNUMBER(SEARCH("A (",$R71))),$P71,1)</f>
        <v>0.69</v>
      </c>
      <c r="E71" s="38" t="n">
        <f aca="false">IF(OR($R71="All",$R71="Not specified",ISNUMBER(SEARCH("B (",$R71))),$P71,1)</f>
        <v>0.69</v>
      </c>
      <c r="F71" s="38" t="n">
        <f aca="false">IF(OR($R71="All",$R71="Not specified",ISNUMBER(SEARCH("C (",$R71))),$P71,1)</f>
        <v>0.69</v>
      </c>
      <c r="G71" s="38" t="n">
        <f aca="false">IF(OR($R71="All",$R71="Not specified",ISNUMBER(SEARCH("O (",$R71))),$P71,1)</f>
        <v>1</v>
      </c>
      <c r="H71" s="39" t="n">
        <v>20</v>
      </c>
      <c r="I71" s="40"/>
      <c r="J71" s="40"/>
      <c r="K71" s="40"/>
      <c r="L71" s="40" t="s">
        <v>597</v>
      </c>
      <c r="M71" s="41" t="s">
        <v>298</v>
      </c>
      <c r="N71" s="39" t="n">
        <v>3</v>
      </c>
      <c r="O71" s="40" t="s">
        <v>370</v>
      </c>
      <c r="P71" s="42" t="n">
        <v>0.69</v>
      </c>
      <c r="Q71" s="43" t="n">
        <f aca="false">IF(ISNUMBER(P71),ROUND((1-P71)*100,1),"NR")</f>
        <v>31</v>
      </c>
      <c r="R71" s="40" t="s">
        <v>396</v>
      </c>
      <c r="S71" s="40" t="s">
        <v>72</v>
      </c>
      <c r="T71" s="40" t="s">
        <v>419</v>
      </c>
      <c r="U71" s="39" t="s">
        <v>301</v>
      </c>
      <c r="V71" s="39" t="s">
        <v>301</v>
      </c>
      <c r="W71" s="39" t="str">
        <f aca="false">IF(AND(ISNUMBER(U71),ISNUMBER(V71)),ROUND((U71+V71)/2,0),IF(ISNUMBER(U71),U71,IF(ISNUMBER(V71),V71,"NR")))</f>
        <v>NR</v>
      </c>
      <c r="X71" s="40" t="s">
        <v>302</v>
      </c>
      <c r="Y71" s="40" t="s">
        <v>301</v>
      </c>
      <c r="Z71" s="40" t="s">
        <v>594</v>
      </c>
      <c r="AA71" s="40" t="s">
        <v>415</v>
      </c>
      <c r="AB71" s="40" t="s">
        <v>399</v>
      </c>
      <c r="AC71" s="40"/>
      <c r="AD71" s="54" t="s">
        <v>595</v>
      </c>
      <c r="AE71" s="54" t="s">
        <v>309</v>
      </c>
      <c r="AF71" s="54" t="s">
        <v>310</v>
      </c>
      <c r="AG71" s="54" t="s">
        <v>318</v>
      </c>
      <c r="AH71" s="55" t="s">
        <v>469</v>
      </c>
      <c r="AI71" s="46" t="s">
        <v>470</v>
      </c>
    </row>
    <row r="72" customFormat="false" ht="35.05" hidden="false" customHeight="false" outlineLevel="0" collapsed="false">
      <c r="A72" s="57" t="s">
        <v>598</v>
      </c>
      <c r="B72" s="58" t="s">
        <v>213</v>
      </c>
      <c r="C72" s="38" t="n">
        <f aca="false">IF(OR($R72="All",$R72="Not specified",ISNUMBER(SEARCH("K (",$R72))),$P72,1)</f>
        <v>0.701</v>
      </c>
      <c r="D72" s="38" t="n">
        <f aca="false">IF(OR($R72="All",$R72="Not specified",ISNUMBER(SEARCH("A (",$R72))),$P72,1)</f>
        <v>0.701</v>
      </c>
      <c r="E72" s="38" t="n">
        <f aca="false">IF(OR($R72="All",$R72="Not specified",ISNUMBER(SEARCH("B (",$R72))),$P72,1)</f>
        <v>0.701</v>
      </c>
      <c r="F72" s="38" t="n">
        <f aca="false">IF(OR($R72="All",$R72="Not specified",ISNUMBER(SEARCH("C (",$R72))),$P72,1)</f>
        <v>0.701</v>
      </c>
      <c r="G72" s="38" t="n">
        <f aca="false">IF(OR($R72="All",$R72="Not specified",ISNUMBER(SEARCH("O (",$R72))),$P72,1)</f>
        <v>0.701</v>
      </c>
      <c r="H72" s="39" t="n">
        <v>20</v>
      </c>
      <c r="I72" s="40"/>
      <c r="J72" s="40"/>
      <c r="K72" s="40"/>
      <c r="L72" s="40" t="s">
        <v>599</v>
      </c>
      <c r="M72" s="47" t="s">
        <v>329</v>
      </c>
      <c r="N72" s="39" t="n">
        <v>4</v>
      </c>
      <c r="O72" s="40" t="s">
        <v>67</v>
      </c>
      <c r="P72" s="42" t="n">
        <v>0.701</v>
      </c>
      <c r="Q72" s="43" t="n">
        <f aca="false">IF(ISNUMBER(P72),ROUND((1-P72)*100,1),"NR")</f>
        <v>29.9</v>
      </c>
      <c r="R72" s="40" t="s">
        <v>72</v>
      </c>
      <c r="S72" s="40" t="s">
        <v>450</v>
      </c>
      <c r="T72" s="40" t="s">
        <v>321</v>
      </c>
      <c r="U72" s="39" t="n">
        <v>6800</v>
      </c>
      <c r="V72" s="39" t="n">
        <v>22141</v>
      </c>
      <c r="W72" s="39" t="n">
        <f aca="false">IF(AND(ISNUMBER(U72),ISNUMBER(V72)),ROUND((U72+V72)/2,0),IF(ISNUMBER(U72),U72,IF(ISNUMBER(V72),V72,"NR")))</f>
        <v>14471</v>
      </c>
      <c r="X72" s="40" t="s">
        <v>302</v>
      </c>
      <c r="Y72" s="40" t="s">
        <v>301</v>
      </c>
      <c r="Z72" s="40" t="s">
        <v>304</v>
      </c>
      <c r="AA72" s="40" t="s">
        <v>355</v>
      </c>
      <c r="AB72" s="40" t="s">
        <v>306</v>
      </c>
      <c r="AC72" s="40" t="s">
        <v>451</v>
      </c>
      <c r="AD72" s="44" t="s">
        <v>308</v>
      </c>
      <c r="AE72" s="44" t="s">
        <v>317</v>
      </c>
      <c r="AF72" s="44" t="s">
        <v>452</v>
      </c>
      <c r="AG72" s="44" t="s">
        <v>600</v>
      </c>
      <c r="AH72" s="56" t="s">
        <v>15</v>
      </c>
      <c r="AI72" s="46" t="s">
        <v>601</v>
      </c>
    </row>
    <row r="73" customFormat="false" ht="35.05" hidden="false" customHeight="false" outlineLevel="0" collapsed="false">
      <c r="A73" s="57" t="s">
        <v>602</v>
      </c>
      <c r="B73" s="58" t="s">
        <v>213</v>
      </c>
      <c r="C73" s="38" t="n">
        <f aca="false">IF(OR($R73="All",$R73="Not specified",ISNUMBER(SEARCH("K (",$R73))),$P73,1)</f>
        <v>0.53</v>
      </c>
      <c r="D73" s="38" t="n">
        <f aca="false">IF(OR($R73="All",$R73="Not specified",ISNUMBER(SEARCH("A (",$R73))),$P73,1)</f>
        <v>0.53</v>
      </c>
      <c r="E73" s="38" t="n">
        <f aca="false">IF(OR($R73="All",$R73="Not specified",ISNUMBER(SEARCH("B (",$R73))),$P73,1)</f>
        <v>0.53</v>
      </c>
      <c r="F73" s="38" t="n">
        <f aca="false">IF(OR($R73="All",$R73="Not specified",ISNUMBER(SEARCH("C (",$R73))),$P73,1)</f>
        <v>0.53</v>
      </c>
      <c r="G73" s="38" t="n">
        <f aca="false">IF(OR($R73="All",$R73="Not specified",ISNUMBER(SEARCH("O (",$R73))),$P73,1)</f>
        <v>0.53</v>
      </c>
      <c r="H73" s="39" t="n">
        <v>20</v>
      </c>
      <c r="I73" s="40"/>
      <c r="J73" s="40"/>
      <c r="K73" s="40"/>
      <c r="L73" s="40" t="s">
        <v>603</v>
      </c>
      <c r="M73" s="47" t="s">
        <v>329</v>
      </c>
      <c r="N73" s="39" t="n">
        <v>5</v>
      </c>
      <c r="O73" s="40" t="s">
        <v>73</v>
      </c>
      <c r="P73" s="42" t="n">
        <v>0.53</v>
      </c>
      <c r="Q73" s="43" t="n">
        <f aca="false">IF(ISNUMBER(P73),ROUND((1-P73)*100,1),"NR")</f>
        <v>47</v>
      </c>
      <c r="R73" s="40" t="s">
        <v>72</v>
      </c>
      <c r="S73" s="40" t="s">
        <v>604</v>
      </c>
      <c r="T73" s="40" t="s">
        <v>321</v>
      </c>
      <c r="U73" s="39" t="s">
        <v>301</v>
      </c>
      <c r="V73" s="39" t="s">
        <v>301</v>
      </c>
      <c r="W73" s="39" t="str">
        <f aca="false">IF(AND(ISNUMBER(U73),ISNUMBER(V73)),ROUND((U73+V73)/2,0),IF(ISNUMBER(U73),U73,IF(ISNUMBER(V73),V73,"NR")))</f>
        <v>NR</v>
      </c>
      <c r="X73" s="40" t="s">
        <v>302</v>
      </c>
      <c r="Y73" s="40" t="s">
        <v>301</v>
      </c>
      <c r="Z73" s="40" t="s">
        <v>304</v>
      </c>
      <c r="AA73" s="40" t="s">
        <v>305</v>
      </c>
      <c r="AB73" s="40" t="s">
        <v>306</v>
      </c>
      <c r="AC73" s="40"/>
      <c r="AD73" s="44" t="s">
        <v>308</v>
      </c>
      <c r="AE73" s="44" t="s">
        <v>317</v>
      </c>
      <c r="AF73" s="44" t="s">
        <v>605</v>
      </c>
      <c r="AG73" s="44" t="s">
        <v>318</v>
      </c>
      <c r="AH73" s="48" t="s">
        <v>13</v>
      </c>
      <c r="AI73" s="46" t="s">
        <v>606</v>
      </c>
    </row>
    <row r="74" customFormat="false" ht="46.25" hidden="false" customHeight="false" outlineLevel="0" collapsed="false">
      <c r="A74" s="57" t="s">
        <v>607</v>
      </c>
      <c r="B74" s="58" t="s">
        <v>213</v>
      </c>
      <c r="C74" s="38" t="n">
        <f aca="false">IF(OR($R74="All",$R74="Not specified",ISNUMBER(SEARCH("K (",$R74))),$P74,1)</f>
        <v>0.469</v>
      </c>
      <c r="D74" s="38" t="n">
        <f aca="false">IF(OR($R74="All",$R74="Not specified",ISNUMBER(SEARCH("A (",$R74))),$P74,1)</f>
        <v>0.469</v>
      </c>
      <c r="E74" s="38" t="n">
        <f aca="false">IF(OR($R74="All",$R74="Not specified",ISNUMBER(SEARCH("B (",$R74))),$P74,1)</f>
        <v>0.469</v>
      </c>
      <c r="F74" s="38" t="n">
        <f aca="false">IF(OR($R74="All",$R74="Not specified",ISNUMBER(SEARCH("C (",$R74))),$P74,1)</f>
        <v>0.469</v>
      </c>
      <c r="G74" s="38" t="n">
        <f aca="false">IF(OR($R74="All",$R74="Not specified",ISNUMBER(SEARCH("O (",$R74))),$P74,1)</f>
        <v>1</v>
      </c>
      <c r="H74" s="39" t="n">
        <v>20</v>
      </c>
      <c r="I74" s="40"/>
      <c r="J74" s="40"/>
      <c r="K74" s="40"/>
      <c r="L74" s="40" t="s">
        <v>608</v>
      </c>
      <c r="M74" s="47" t="s">
        <v>329</v>
      </c>
      <c r="N74" s="39" t="n">
        <v>4</v>
      </c>
      <c r="O74" s="40" t="s">
        <v>72</v>
      </c>
      <c r="P74" s="42" t="n">
        <v>0.469</v>
      </c>
      <c r="Q74" s="43" t="n">
        <f aca="false">IF(ISNUMBER(P74),ROUND((1-P74)*100,1),"NR")</f>
        <v>53.1</v>
      </c>
      <c r="R74" s="40" t="s">
        <v>299</v>
      </c>
      <c r="S74" s="40" t="s">
        <v>72</v>
      </c>
      <c r="T74" s="40" t="s">
        <v>371</v>
      </c>
      <c r="U74" s="39" t="s">
        <v>301</v>
      </c>
      <c r="V74" s="39" t="s">
        <v>301</v>
      </c>
      <c r="W74" s="39" t="str">
        <f aca="false">IF(AND(ISNUMBER(U74),ISNUMBER(V74)),ROUND((U74+V74)/2,0),IF(ISNUMBER(U74),U74,IF(ISNUMBER(V74),V74,"NR")))</f>
        <v>NR</v>
      </c>
      <c r="X74" s="40" t="s">
        <v>302</v>
      </c>
      <c r="Y74" s="40" t="s">
        <v>301</v>
      </c>
      <c r="Z74" s="40" t="s">
        <v>304</v>
      </c>
      <c r="AA74" s="40" t="s">
        <v>609</v>
      </c>
      <c r="AB74" s="40" t="s">
        <v>306</v>
      </c>
      <c r="AC74" s="40"/>
      <c r="AD74" s="44" t="s">
        <v>308</v>
      </c>
      <c r="AE74" s="44" t="s">
        <v>309</v>
      </c>
      <c r="AF74" s="44" t="s">
        <v>310</v>
      </c>
      <c r="AG74" s="44" t="s">
        <v>318</v>
      </c>
      <c r="AH74" s="45" t="s">
        <v>11</v>
      </c>
      <c r="AI74" s="46" t="s">
        <v>12</v>
      </c>
    </row>
    <row r="75" customFormat="false" ht="12.75" hidden="false" customHeight="false" outlineLevel="0" collapsed="false">
      <c r="A75" s="57" t="s">
        <v>610</v>
      </c>
      <c r="B75" s="58" t="s">
        <v>213</v>
      </c>
      <c r="C75" s="38" t="n">
        <f aca="false">IF(OR($R75="All",$R75="Not specified",ISNUMBER(SEARCH("K (",$R75))),$P75,1)</f>
        <v>0.53</v>
      </c>
      <c r="D75" s="38" t="n">
        <f aca="false">IF(OR($R75="All",$R75="Not specified",ISNUMBER(SEARCH("A (",$R75))),$P75,1)</f>
        <v>0.53</v>
      </c>
      <c r="E75" s="38" t="n">
        <f aca="false">IF(OR($R75="All",$R75="Not specified",ISNUMBER(SEARCH("B (",$R75))),$P75,1)</f>
        <v>0.53</v>
      </c>
      <c r="F75" s="38" t="n">
        <f aca="false">IF(OR($R75="All",$R75="Not specified",ISNUMBER(SEARCH("C (",$R75))),$P75,1)</f>
        <v>0.53</v>
      </c>
      <c r="G75" s="38" t="n">
        <f aca="false">IF(OR($R75="All",$R75="Not specified",ISNUMBER(SEARCH("O (",$R75))),$P75,1)</f>
        <v>0.53</v>
      </c>
      <c r="H75" s="39" t="n">
        <v>20</v>
      </c>
      <c r="I75" s="40"/>
      <c r="J75" s="40"/>
      <c r="K75" s="40"/>
      <c r="L75" s="40" t="s">
        <v>611</v>
      </c>
      <c r="M75" s="47" t="s">
        <v>329</v>
      </c>
      <c r="N75" s="39" t="n">
        <v>4</v>
      </c>
      <c r="O75" s="40" t="s">
        <v>302</v>
      </c>
      <c r="P75" s="42" t="n">
        <v>0.53</v>
      </c>
      <c r="Q75" s="43" t="n">
        <f aca="false">IF(ISNUMBER(P75),ROUND((1-P75)*100,1),"NR")</f>
        <v>47</v>
      </c>
      <c r="R75" s="40" t="s">
        <v>72</v>
      </c>
      <c r="S75" s="40" t="s">
        <v>612</v>
      </c>
      <c r="T75" s="40" t="s">
        <v>72</v>
      </c>
      <c r="U75" s="39" t="n">
        <v>4883</v>
      </c>
      <c r="V75" s="39" t="n">
        <v>96080</v>
      </c>
      <c r="W75" s="39" t="n">
        <f aca="false">IF(AND(ISNUMBER(U75),ISNUMBER(V75)),ROUND((U75+V75)/2,0),IF(ISNUMBER(U75),U75,IF(ISNUMBER(V75),V75,"NR")))</f>
        <v>50482</v>
      </c>
      <c r="X75" s="40" t="s">
        <v>302</v>
      </c>
      <c r="Y75" s="40" t="s">
        <v>613</v>
      </c>
      <c r="Z75" s="40" t="s">
        <v>304</v>
      </c>
      <c r="AA75" s="40" t="s">
        <v>365</v>
      </c>
      <c r="AB75" s="40" t="s">
        <v>325</v>
      </c>
      <c r="AC75" s="40"/>
      <c r="AD75" s="44" t="s">
        <v>308</v>
      </c>
      <c r="AE75" s="44" t="s">
        <v>317</v>
      </c>
      <c r="AF75" s="44" t="s">
        <v>614</v>
      </c>
      <c r="AG75" s="44" t="s">
        <v>615</v>
      </c>
      <c r="AH75" s="48" t="s">
        <v>13</v>
      </c>
      <c r="AI75" s="46" t="s">
        <v>616</v>
      </c>
    </row>
    <row r="76" customFormat="false" ht="35.05" hidden="false" customHeight="false" outlineLevel="0" collapsed="false">
      <c r="A76" s="57" t="s">
        <v>617</v>
      </c>
      <c r="B76" s="58" t="s">
        <v>219</v>
      </c>
      <c r="C76" s="38" t="n">
        <f aca="false">IF(OR($R76="All",$R76="Not specified",ISNUMBER(SEARCH("K (",$R76))),$P76,1)</f>
        <v>0.86</v>
      </c>
      <c r="D76" s="38" t="n">
        <f aca="false">IF(OR($R76="All",$R76="Not specified",ISNUMBER(SEARCH("A (",$R76))),$P76,1)</f>
        <v>0.86</v>
      </c>
      <c r="E76" s="38" t="n">
        <f aca="false">IF(OR($R76="All",$R76="Not specified",ISNUMBER(SEARCH("B (",$R76))),$P76,1)</f>
        <v>0.86</v>
      </c>
      <c r="F76" s="38" t="n">
        <f aca="false">IF(OR($R76="All",$R76="Not specified",ISNUMBER(SEARCH("C (",$R76))),$P76,1)</f>
        <v>0.86</v>
      </c>
      <c r="G76" s="38" t="n">
        <f aca="false">IF(OR($R76="All",$R76="Not specified",ISNUMBER(SEARCH("O (",$R76))),$P76,1)</f>
        <v>0.86</v>
      </c>
      <c r="H76" s="39" t="n">
        <v>20</v>
      </c>
      <c r="I76" s="40"/>
      <c r="J76" s="40"/>
      <c r="K76" s="40"/>
      <c r="L76" s="40" t="s">
        <v>618</v>
      </c>
      <c r="M76" s="41" t="s">
        <v>298</v>
      </c>
      <c r="N76" s="39" t="n">
        <v>4</v>
      </c>
      <c r="O76" s="40" t="s">
        <v>72</v>
      </c>
      <c r="P76" s="42" t="n">
        <v>0.86</v>
      </c>
      <c r="Q76" s="43" t="n">
        <f aca="false">IF(ISNUMBER(P76),ROUND((1-P76)*100,1),"NR")</f>
        <v>14</v>
      </c>
      <c r="R76" s="40" t="s">
        <v>72</v>
      </c>
      <c r="S76" s="40" t="s">
        <v>72</v>
      </c>
      <c r="T76" s="40" t="s">
        <v>371</v>
      </c>
      <c r="U76" s="39" t="n">
        <v>1500</v>
      </c>
      <c r="V76" s="39" t="n">
        <v>40600</v>
      </c>
      <c r="W76" s="39" t="n">
        <f aca="false">IF(AND(ISNUMBER(U76),ISNUMBER(V76)),ROUND((U76+V76)/2,0),IF(ISNUMBER(U76),U76,IF(ISNUMBER(V76),V76,"NR")))</f>
        <v>21050</v>
      </c>
      <c r="X76" s="40" t="s">
        <v>377</v>
      </c>
      <c r="Y76" s="40" t="s">
        <v>301</v>
      </c>
      <c r="Z76" s="40" t="s">
        <v>594</v>
      </c>
      <c r="AA76" s="40" t="s">
        <v>531</v>
      </c>
      <c r="AB76" s="40" t="s">
        <v>306</v>
      </c>
      <c r="AC76" s="40" t="s">
        <v>619</v>
      </c>
      <c r="AD76" s="44" t="s">
        <v>308</v>
      </c>
      <c r="AE76" s="44" t="s">
        <v>317</v>
      </c>
      <c r="AF76" s="44" t="s">
        <v>310</v>
      </c>
      <c r="AG76" s="44" t="s">
        <v>620</v>
      </c>
      <c r="AH76" s="45" t="s">
        <v>11</v>
      </c>
      <c r="AI76" s="46" t="s">
        <v>12</v>
      </c>
    </row>
    <row r="77" customFormat="false" ht="35.05" hidden="false" customHeight="false" outlineLevel="0" collapsed="false">
      <c r="A77" s="57" t="s">
        <v>621</v>
      </c>
      <c r="B77" s="58" t="s">
        <v>219</v>
      </c>
      <c r="C77" s="38" t="n">
        <f aca="false">IF(OR($R77="All",$R77="Not specified",ISNUMBER(SEARCH("K (",$R77))),$P77,1)</f>
        <v>0.397</v>
      </c>
      <c r="D77" s="38" t="n">
        <f aca="false">IF(OR($R77="All",$R77="Not specified",ISNUMBER(SEARCH("A (",$R77))),$P77,1)</f>
        <v>0.397</v>
      </c>
      <c r="E77" s="38" t="n">
        <f aca="false">IF(OR($R77="All",$R77="Not specified",ISNUMBER(SEARCH("B (",$R77))),$P77,1)</f>
        <v>0.397</v>
      </c>
      <c r="F77" s="38" t="n">
        <f aca="false">IF(OR($R77="All",$R77="Not specified",ISNUMBER(SEARCH("C (",$R77))),$P77,1)</f>
        <v>0.397</v>
      </c>
      <c r="G77" s="38" t="n">
        <f aca="false">IF(OR($R77="All",$R77="Not specified",ISNUMBER(SEARCH("O (",$R77))),$P77,1)</f>
        <v>0.397</v>
      </c>
      <c r="H77" s="39" t="n">
        <v>20</v>
      </c>
      <c r="I77" s="40"/>
      <c r="J77" s="40"/>
      <c r="K77" s="40"/>
      <c r="L77" s="40" t="s">
        <v>622</v>
      </c>
      <c r="M77" s="47" t="s">
        <v>329</v>
      </c>
      <c r="N77" s="39" t="n">
        <v>4</v>
      </c>
      <c r="O77" s="40" t="s">
        <v>321</v>
      </c>
      <c r="P77" s="42" t="n">
        <v>0.397</v>
      </c>
      <c r="Q77" s="43" t="n">
        <f aca="false">IF(ISNUMBER(P77),ROUND((1-P77)*100,1),"NR")</f>
        <v>60.3</v>
      </c>
      <c r="R77" s="40" t="s">
        <v>72</v>
      </c>
      <c r="S77" s="40" t="s">
        <v>623</v>
      </c>
      <c r="T77" s="40" t="s">
        <v>321</v>
      </c>
      <c r="U77" s="39" t="s">
        <v>301</v>
      </c>
      <c r="V77" s="39" t="s">
        <v>301</v>
      </c>
      <c r="W77" s="39" t="str">
        <f aca="false">IF(AND(ISNUMBER(U77),ISNUMBER(V77)),ROUND((U77+V77)/2,0),IF(ISNUMBER(U77),U77,IF(ISNUMBER(V77),V77,"NR")))</f>
        <v>NR</v>
      </c>
      <c r="X77" s="40" t="s">
        <v>377</v>
      </c>
      <c r="Y77" s="40" t="s">
        <v>301</v>
      </c>
      <c r="Z77" s="40" t="s">
        <v>304</v>
      </c>
      <c r="AA77" s="40" t="s">
        <v>405</v>
      </c>
      <c r="AB77" s="40" t="s">
        <v>306</v>
      </c>
      <c r="AC77" s="40" t="s">
        <v>624</v>
      </c>
      <c r="AD77" s="44" t="s">
        <v>308</v>
      </c>
      <c r="AE77" s="44" t="s">
        <v>317</v>
      </c>
      <c r="AF77" s="44" t="s">
        <v>625</v>
      </c>
      <c r="AG77" s="44" t="s">
        <v>318</v>
      </c>
      <c r="AH77" s="48" t="s">
        <v>13</v>
      </c>
      <c r="AI77" s="46" t="s">
        <v>626</v>
      </c>
    </row>
    <row r="78" customFormat="false" ht="46.25" hidden="false" customHeight="false" outlineLevel="0" collapsed="false">
      <c r="A78" s="57" t="s">
        <v>627</v>
      </c>
      <c r="B78" s="58" t="s">
        <v>219</v>
      </c>
      <c r="C78" s="38" t="n">
        <f aca="false">IF(OR($R78="All",$R78="Not specified",ISNUMBER(SEARCH("K (",$R78))),$P78,1)</f>
        <v>0.404</v>
      </c>
      <c r="D78" s="38" t="n">
        <f aca="false">IF(OR($R78="All",$R78="Not specified",ISNUMBER(SEARCH("A (",$R78))),$P78,1)</f>
        <v>0.404</v>
      </c>
      <c r="E78" s="38" t="n">
        <f aca="false">IF(OR($R78="All",$R78="Not specified",ISNUMBER(SEARCH("B (",$R78))),$P78,1)</f>
        <v>0.404</v>
      </c>
      <c r="F78" s="38" t="n">
        <f aca="false">IF(OR($R78="All",$R78="Not specified",ISNUMBER(SEARCH("C (",$R78))),$P78,1)</f>
        <v>0.404</v>
      </c>
      <c r="G78" s="38" t="n">
        <f aca="false">IF(OR($R78="All",$R78="Not specified",ISNUMBER(SEARCH("O (",$R78))),$P78,1)</f>
        <v>0.404</v>
      </c>
      <c r="H78" s="39" t="n">
        <v>20</v>
      </c>
      <c r="I78" s="40"/>
      <c r="J78" s="40"/>
      <c r="K78" s="40"/>
      <c r="L78" s="40" t="s">
        <v>628</v>
      </c>
      <c r="M78" s="47" t="s">
        <v>329</v>
      </c>
      <c r="N78" s="39" t="n">
        <v>4</v>
      </c>
      <c r="O78" s="40" t="s">
        <v>302</v>
      </c>
      <c r="P78" s="42" t="n">
        <v>0.404</v>
      </c>
      <c r="Q78" s="43" t="n">
        <f aca="false">IF(ISNUMBER(P78),ROUND((1-P78)*100,1),"NR")</f>
        <v>59.6</v>
      </c>
      <c r="R78" s="40" t="s">
        <v>72</v>
      </c>
      <c r="S78" s="40" t="s">
        <v>629</v>
      </c>
      <c r="T78" s="40" t="s">
        <v>72</v>
      </c>
      <c r="U78" s="39" t="s">
        <v>301</v>
      </c>
      <c r="V78" s="39" t="s">
        <v>301</v>
      </c>
      <c r="W78" s="39" t="str">
        <f aca="false">IF(AND(ISNUMBER(U78),ISNUMBER(V78)),ROUND((U78+V78)/2,0),IF(ISNUMBER(U78),U78,IF(ISNUMBER(V78),V78,"NR")))</f>
        <v>NR</v>
      </c>
      <c r="X78" s="40" t="s">
        <v>514</v>
      </c>
      <c r="Y78" s="40" t="s">
        <v>630</v>
      </c>
      <c r="Z78" s="40" t="s">
        <v>304</v>
      </c>
      <c r="AA78" s="40" t="s">
        <v>331</v>
      </c>
      <c r="AB78" s="40" t="s">
        <v>306</v>
      </c>
      <c r="AC78" s="40" t="s">
        <v>631</v>
      </c>
      <c r="AD78" s="44" t="s">
        <v>308</v>
      </c>
      <c r="AE78" s="44" t="s">
        <v>317</v>
      </c>
      <c r="AF78" s="44" t="s">
        <v>632</v>
      </c>
      <c r="AG78" s="44" t="s">
        <v>318</v>
      </c>
      <c r="AH78" s="48" t="s">
        <v>13</v>
      </c>
      <c r="AI78" s="46" t="s">
        <v>626</v>
      </c>
    </row>
    <row r="79" customFormat="false" ht="57.45" hidden="false" customHeight="false" outlineLevel="0" collapsed="false">
      <c r="A79" s="57" t="s">
        <v>633</v>
      </c>
      <c r="B79" s="58" t="s">
        <v>219</v>
      </c>
      <c r="C79" s="38" t="n">
        <f aca="false">IF(OR($R79="All",$R79="Not specified",ISNUMBER(SEARCH("K (",$R79))),$P79,1)</f>
        <v>0.558</v>
      </c>
      <c r="D79" s="38" t="n">
        <f aca="false">IF(OR($R79="All",$R79="Not specified",ISNUMBER(SEARCH("A (",$R79))),$P79,1)</f>
        <v>0.558</v>
      </c>
      <c r="E79" s="38" t="n">
        <f aca="false">IF(OR($R79="All",$R79="Not specified",ISNUMBER(SEARCH("B (",$R79))),$P79,1)</f>
        <v>0.558</v>
      </c>
      <c r="F79" s="38" t="n">
        <f aca="false">IF(OR($R79="All",$R79="Not specified",ISNUMBER(SEARCH("C (",$R79))),$P79,1)</f>
        <v>0.558</v>
      </c>
      <c r="G79" s="38" t="n">
        <f aca="false">IF(OR($R79="All",$R79="Not specified",ISNUMBER(SEARCH("O (",$R79))),$P79,1)</f>
        <v>0.558</v>
      </c>
      <c r="H79" s="39" t="n">
        <v>20</v>
      </c>
      <c r="I79" s="40"/>
      <c r="J79" s="40"/>
      <c r="K79" s="40"/>
      <c r="L79" s="40" t="s">
        <v>634</v>
      </c>
      <c r="M79" s="47" t="s">
        <v>329</v>
      </c>
      <c r="N79" s="39" t="n">
        <v>4</v>
      </c>
      <c r="O79" s="40" t="s">
        <v>302</v>
      </c>
      <c r="P79" s="42" t="n">
        <v>0.558</v>
      </c>
      <c r="Q79" s="43" t="n">
        <f aca="false">IF(ISNUMBER(P79),ROUND((1-P79)*100,1),"NR")</f>
        <v>44.2</v>
      </c>
      <c r="R79" s="40" t="s">
        <v>72</v>
      </c>
      <c r="S79" s="40" t="s">
        <v>72</v>
      </c>
      <c r="T79" s="40" t="s">
        <v>72</v>
      </c>
      <c r="U79" s="39" t="s">
        <v>301</v>
      </c>
      <c r="V79" s="39" t="s">
        <v>301</v>
      </c>
      <c r="W79" s="39" t="str">
        <f aca="false">IF(AND(ISNUMBER(U79),ISNUMBER(V79)),ROUND((U79+V79)/2,0),IF(ISNUMBER(U79),U79,IF(ISNUMBER(V79),V79,"NR")))</f>
        <v>NR</v>
      </c>
      <c r="X79" s="40" t="s">
        <v>514</v>
      </c>
      <c r="Y79" s="40" t="s">
        <v>630</v>
      </c>
      <c r="Z79" s="40" t="s">
        <v>304</v>
      </c>
      <c r="AA79" s="40" t="s">
        <v>331</v>
      </c>
      <c r="AB79" s="40" t="s">
        <v>306</v>
      </c>
      <c r="AC79" s="40" t="s">
        <v>635</v>
      </c>
      <c r="AD79" s="44" t="s">
        <v>308</v>
      </c>
      <c r="AE79" s="44" t="s">
        <v>317</v>
      </c>
      <c r="AF79" s="44" t="s">
        <v>310</v>
      </c>
      <c r="AG79" s="44" t="s">
        <v>318</v>
      </c>
      <c r="AH79" s="45" t="s">
        <v>11</v>
      </c>
      <c r="AI79" s="46" t="s">
        <v>12</v>
      </c>
    </row>
    <row r="80" customFormat="false" ht="91" hidden="false" customHeight="false" outlineLevel="0" collapsed="false">
      <c r="A80" s="57" t="s">
        <v>636</v>
      </c>
      <c r="B80" s="58" t="s">
        <v>219</v>
      </c>
      <c r="C80" s="38" t="n">
        <f aca="false">IF(OR($R80="All",$R80="Not specified",ISNUMBER(SEARCH("K (",$R80))),$P80,1)</f>
        <v>0.74</v>
      </c>
      <c r="D80" s="38" t="n">
        <f aca="false">IF(OR($R80="All",$R80="Not specified",ISNUMBER(SEARCH("A (",$R80))),$P80,1)</f>
        <v>0.74</v>
      </c>
      <c r="E80" s="38" t="n">
        <f aca="false">IF(OR($R80="All",$R80="Not specified",ISNUMBER(SEARCH("B (",$R80))),$P80,1)</f>
        <v>0.74</v>
      </c>
      <c r="F80" s="38" t="n">
        <f aca="false">IF(OR($R80="All",$R80="Not specified",ISNUMBER(SEARCH("C (",$R80))),$P80,1)</f>
        <v>0.74</v>
      </c>
      <c r="G80" s="38" t="n">
        <f aca="false">IF(OR($R80="All",$R80="Not specified",ISNUMBER(SEARCH("O (",$R80))),$P80,1)</f>
        <v>0.74</v>
      </c>
      <c r="H80" s="39" t="n">
        <v>20</v>
      </c>
      <c r="I80" s="40"/>
      <c r="J80" s="40"/>
      <c r="K80" s="40"/>
      <c r="L80" s="40" t="s">
        <v>637</v>
      </c>
      <c r="M80" s="47" t="s">
        <v>329</v>
      </c>
      <c r="N80" s="39" t="n">
        <v>4</v>
      </c>
      <c r="O80" s="40" t="s">
        <v>72</v>
      </c>
      <c r="P80" s="42" t="n">
        <v>0.74</v>
      </c>
      <c r="Q80" s="43" t="n">
        <f aca="false">IF(ISNUMBER(P80),ROUND((1-P80)*100,1),"NR")</f>
        <v>26</v>
      </c>
      <c r="R80" s="40" t="s">
        <v>72</v>
      </c>
      <c r="S80" s="40" t="s">
        <v>72</v>
      </c>
      <c r="T80" s="40" t="s">
        <v>371</v>
      </c>
      <c r="U80" s="39" t="n">
        <v>1500</v>
      </c>
      <c r="V80" s="39" t="n">
        <v>40600</v>
      </c>
      <c r="W80" s="39" t="n">
        <f aca="false">IF(AND(ISNUMBER(U80),ISNUMBER(V80)),ROUND((U80+V80)/2,0),IF(ISNUMBER(U80),U80,IF(ISNUMBER(V80),V80,"NR")))</f>
        <v>21050</v>
      </c>
      <c r="X80" s="40" t="s">
        <v>377</v>
      </c>
      <c r="Y80" s="40" t="s">
        <v>301</v>
      </c>
      <c r="Z80" s="40" t="s">
        <v>594</v>
      </c>
      <c r="AA80" s="40" t="s">
        <v>531</v>
      </c>
      <c r="AB80" s="40" t="s">
        <v>306</v>
      </c>
      <c r="AC80" s="40" t="s">
        <v>638</v>
      </c>
      <c r="AD80" s="44" t="s">
        <v>308</v>
      </c>
      <c r="AE80" s="44" t="s">
        <v>317</v>
      </c>
      <c r="AF80" s="44" t="s">
        <v>310</v>
      </c>
      <c r="AG80" s="44" t="s">
        <v>620</v>
      </c>
      <c r="AH80" s="45" t="s">
        <v>11</v>
      </c>
      <c r="AI80" s="46" t="s">
        <v>12</v>
      </c>
    </row>
    <row r="81" customFormat="false" ht="91" hidden="false" customHeight="false" outlineLevel="0" collapsed="false">
      <c r="A81" s="57" t="s">
        <v>639</v>
      </c>
      <c r="B81" s="58" t="s">
        <v>219</v>
      </c>
      <c r="C81" s="38" t="n">
        <f aca="false">IF(OR($R81="All",$R81="Not specified",ISNUMBER(SEARCH("K (",$R81))),$P81,1)</f>
        <v>0.77</v>
      </c>
      <c r="D81" s="38" t="n">
        <f aca="false">IF(OR($R81="All",$R81="Not specified",ISNUMBER(SEARCH("A (",$R81))),$P81,1)</f>
        <v>0.77</v>
      </c>
      <c r="E81" s="38" t="n">
        <f aca="false">IF(OR($R81="All",$R81="Not specified",ISNUMBER(SEARCH("B (",$R81))),$P81,1)</f>
        <v>0.77</v>
      </c>
      <c r="F81" s="38" t="n">
        <f aca="false">IF(OR($R81="All",$R81="Not specified",ISNUMBER(SEARCH("C (",$R81))),$P81,1)</f>
        <v>0.77</v>
      </c>
      <c r="G81" s="38" t="n">
        <f aca="false">IF(OR($R81="All",$R81="Not specified",ISNUMBER(SEARCH("O (",$R81))),$P81,1)</f>
        <v>1</v>
      </c>
      <c r="H81" s="39" t="n">
        <v>20</v>
      </c>
      <c r="I81" s="40"/>
      <c r="J81" s="40"/>
      <c r="K81" s="40"/>
      <c r="L81" s="40" t="s">
        <v>640</v>
      </c>
      <c r="M81" s="47" t="s">
        <v>329</v>
      </c>
      <c r="N81" s="39" t="n">
        <v>4</v>
      </c>
      <c r="O81" s="40" t="s">
        <v>72</v>
      </c>
      <c r="P81" s="42" t="n">
        <v>0.77</v>
      </c>
      <c r="Q81" s="43" t="n">
        <f aca="false">IF(ISNUMBER(P81),ROUND((1-P81)*100,1),"NR")</f>
        <v>23</v>
      </c>
      <c r="R81" s="40" t="s">
        <v>299</v>
      </c>
      <c r="S81" s="40" t="s">
        <v>72</v>
      </c>
      <c r="T81" s="40" t="s">
        <v>371</v>
      </c>
      <c r="U81" s="39" t="n">
        <v>1500</v>
      </c>
      <c r="V81" s="39" t="n">
        <v>40600</v>
      </c>
      <c r="W81" s="39" t="n">
        <f aca="false">IF(AND(ISNUMBER(U81),ISNUMBER(V81)),ROUND((U81+V81)/2,0),IF(ISNUMBER(U81),U81,IF(ISNUMBER(V81),V81,"NR")))</f>
        <v>21050</v>
      </c>
      <c r="X81" s="40" t="s">
        <v>377</v>
      </c>
      <c r="Y81" s="40" t="s">
        <v>301</v>
      </c>
      <c r="Z81" s="40" t="s">
        <v>594</v>
      </c>
      <c r="AA81" s="40" t="s">
        <v>531</v>
      </c>
      <c r="AB81" s="40" t="s">
        <v>306</v>
      </c>
      <c r="AC81" s="40" t="s">
        <v>638</v>
      </c>
      <c r="AD81" s="44" t="s">
        <v>308</v>
      </c>
      <c r="AE81" s="44" t="s">
        <v>309</v>
      </c>
      <c r="AF81" s="44" t="s">
        <v>310</v>
      </c>
      <c r="AG81" s="44" t="s">
        <v>620</v>
      </c>
      <c r="AH81" s="45" t="s">
        <v>11</v>
      </c>
      <c r="AI81" s="46" t="s">
        <v>12</v>
      </c>
    </row>
    <row r="82" customFormat="false" ht="91" hidden="false" customHeight="false" outlineLevel="0" collapsed="false">
      <c r="A82" s="57" t="s">
        <v>641</v>
      </c>
      <c r="B82" s="58" t="s">
        <v>224</v>
      </c>
      <c r="C82" s="38" t="n">
        <f aca="false">IF(OR($R82="All",$R82="Not specified",ISNUMBER(SEARCH("K (",$R82))),$P82,1)</f>
        <v>0.72</v>
      </c>
      <c r="D82" s="38" t="n">
        <f aca="false">IF(OR($R82="All",$R82="Not specified",ISNUMBER(SEARCH("A (",$R82))),$P82,1)</f>
        <v>0.72</v>
      </c>
      <c r="E82" s="38" t="n">
        <f aca="false">IF(OR($R82="All",$R82="Not specified",ISNUMBER(SEARCH("B (",$R82))),$P82,1)</f>
        <v>0.72</v>
      </c>
      <c r="F82" s="38" t="n">
        <f aca="false">IF(OR($R82="All",$R82="Not specified",ISNUMBER(SEARCH("C (",$R82))),$P82,1)</f>
        <v>0.72</v>
      </c>
      <c r="G82" s="38" t="n">
        <f aca="false">IF(OR($R82="All",$R82="Not specified",ISNUMBER(SEARCH("O (",$R82))),$P82,1)</f>
        <v>0.72</v>
      </c>
      <c r="H82" s="39" t="n">
        <v>20</v>
      </c>
      <c r="I82" s="40"/>
      <c r="J82" s="40"/>
      <c r="K82" s="40"/>
      <c r="L82" s="40" t="s">
        <v>642</v>
      </c>
      <c r="M82" s="41" t="s">
        <v>298</v>
      </c>
      <c r="N82" s="39" t="n">
        <v>4</v>
      </c>
      <c r="O82" s="40" t="s">
        <v>73</v>
      </c>
      <c r="P82" s="42" t="n">
        <v>0.72</v>
      </c>
      <c r="Q82" s="43" t="n">
        <f aca="false">IF(ISNUMBER(P82),ROUND((1-P82)*100,1),"NR")</f>
        <v>28</v>
      </c>
      <c r="R82" s="40" t="s">
        <v>72</v>
      </c>
      <c r="S82" s="40" t="s">
        <v>72</v>
      </c>
      <c r="T82" s="40" t="s">
        <v>371</v>
      </c>
      <c r="U82" s="39" t="n">
        <v>1600</v>
      </c>
      <c r="V82" s="39" t="n">
        <v>32400</v>
      </c>
      <c r="W82" s="39" t="n">
        <f aca="false">IF(AND(ISNUMBER(U82),ISNUMBER(V82)),ROUND((U82+V82)/2,0),IF(ISNUMBER(U82),U82,IF(ISNUMBER(V82),V82,"NR")))</f>
        <v>17000</v>
      </c>
      <c r="X82" s="40" t="s">
        <v>377</v>
      </c>
      <c r="Y82" s="40" t="s">
        <v>301</v>
      </c>
      <c r="Z82" s="40" t="s">
        <v>594</v>
      </c>
      <c r="AA82" s="40" t="s">
        <v>643</v>
      </c>
      <c r="AB82" s="40" t="s">
        <v>306</v>
      </c>
      <c r="AC82" s="40" t="s">
        <v>638</v>
      </c>
      <c r="AD82" s="44" t="s">
        <v>308</v>
      </c>
      <c r="AE82" s="44" t="s">
        <v>317</v>
      </c>
      <c r="AF82" s="44" t="s">
        <v>310</v>
      </c>
      <c r="AG82" s="44" t="s">
        <v>644</v>
      </c>
      <c r="AH82" s="45" t="s">
        <v>11</v>
      </c>
      <c r="AI82" s="46" t="s">
        <v>12</v>
      </c>
    </row>
    <row r="83" customFormat="false" ht="46.25" hidden="false" customHeight="false" outlineLevel="0" collapsed="false">
      <c r="A83" s="57" t="s">
        <v>645</v>
      </c>
      <c r="B83" s="58" t="s">
        <v>224</v>
      </c>
      <c r="C83" s="38" t="n">
        <f aca="false">IF(OR($R83="All",$R83="Not specified",ISNUMBER(SEARCH("K (",$R83))),$P83,1)</f>
        <v>0.644</v>
      </c>
      <c r="D83" s="38" t="n">
        <f aca="false">IF(OR($R83="All",$R83="Not specified",ISNUMBER(SEARCH("A (",$R83))),$P83,1)</f>
        <v>0.644</v>
      </c>
      <c r="E83" s="38" t="n">
        <f aca="false">IF(OR($R83="All",$R83="Not specified",ISNUMBER(SEARCH("B (",$R83))),$P83,1)</f>
        <v>0.644</v>
      </c>
      <c r="F83" s="38" t="n">
        <f aca="false">IF(OR($R83="All",$R83="Not specified",ISNUMBER(SEARCH("C (",$R83))),$P83,1)</f>
        <v>0.644</v>
      </c>
      <c r="G83" s="38" t="n">
        <f aca="false">IF(OR($R83="All",$R83="Not specified",ISNUMBER(SEARCH("O (",$R83))),$P83,1)</f>
        <v>1</v>
      </c>
      <c r="H83" s="39" t="n">
        <v>20</v>
      </c>
      <c r="I83" s="40"/>
      <c r="J83" s="40"/>
      <c r="K83" s="40"/>
      <c r="L83" s="40" t="s">
        <v>646</v>
      </c>
      <c r="M83" s="41" t="s">
        <v>298</v>
      </c>
      <c r="N83" s="39" t="n">
        <v>3</v>
      </c>
      <c r="O83" s="40" t="s">
        <v>321</v>
      </c>
      <c r="P83" s="42" t="n">
        <v>0.644</v>
      </c>
      <c r="Q83" s="43" t="n">
        <f aca="false">IF(ISNUMBER(P83),ROUND((1-P83)*100,1),"NR")</f>
        <v>35.6</v>
      </c>
      <c r="R83" s="40" t="s">
        <v>299</v>
      </c>
      <c r="S83" s="40" t="s">
        <v>72</v>
      </c>
      <c r="T83" s="40" t="s">
        <v>321</v>
      </c>
      <c r="U83" s="39" t="n">
        <v>7150</v>
      </c>
      <c r="V83" s="39" t="n">
        <v>29200</v>
      </c>
      <c r="W83" s="39" t="n">
        <f aca="false">IF(AND(ISNUMBER(U83),ISNUMBER(V83)),ROUND((U83+V83)/2,0),IF(ISNUMBER(U83),U83,IF(ISNUMBER(V83),V83,"NR")))</f>
        <v>18175</v>
      </c>
      <c r="X83" s="40" t="s">
        <v>302</v>
      </c>
      <c r="Y83" s="40" t="s">
        <v>301</v>
      </c>
      <c r="Z83" s="40" t="s">
        <v>304</v>
      </c>
      <c r="AA83" s="40" t="s">
        <v>609</v>
      </c>
      <c r="AB83" s="40" t="s">
        <v>306</v>
      </c>
      <c r="AC83" s="40" t="s">
        <v>647</v>
      </c>
      <c r="AD83" s="44" t="s">
        <v>308</v>
      </c>
      <c r="AE83" s="44" t="s">
        <v>309</v>
      </c>
      <c r="AF83" s="44" t="s">
        <v>310</v>
      </c>
      <c r="AG83" s="44" t="s">
        <v>648</v>
      </c>
      <c r="AH83" s="45" t="s">
        <v>11</v>
      </c>
      <c r="AI83" s="46" t="s">
        <v>12</v>
      </c>
    </row>
    <row r="84" customFormat="false" ht="57.45" hidden="false" customHeight="false" outlineLevel="0" collapsed="false">
      <c r="A84" s="57" t="s">
        <v>649</v>
      </c>
      <c r="B84" s="58" t="s">
        <v>224</v>
      </c>
      <c r="C84" s="38" t="n">
        <f aca="false">IF(OR($R84="All",$R84="Not specified",ISNUMBER(SEARCH("K (",$R84))),$P84,1)</f>
        <v>0.944</v>
      </c>
      <c r="D84" s="38" t="n">
        <f aca="false">IF(OR($R84="All",$R84="Not specified",ISNUMBER(SEARCH("A (",$R84))),$P84,1)</f>
        <v>0.944</v>
      </c>
      <c r="E84" s="38" t="n">
        <f aca="false">IF(OR($R84="All",$R84="Not specified",ISNUMBER(SEARCH("B (",$R84))),$P84,1)</f>
        <v>0.944</v>
      </c>
      <c r="F84" s="38" t="n">
        <f aca="false">IF(OR($R84="All",$R84="Not specified",ISNUMBER(SEARCH("C (",$R84))),$P84,1)</f>
        <v>0.944</v>
      </c>
      <c r="G84" s="38" t="n">
        <f aca="false">IF(OR($R84="All",$R84="Not specified",ISNUMBER(SEARCH("O (",$R84))),$P84,1)</f>
        <v>0.944</v>
      </c>
      <c r="H84" s="39" t="n">
        <v>20</v>
      </c>
      <c r="I84" s="40"/>
      <c r="J84" s="40"/>
      <c r="K84" s="40"/>
      <c r="L84" s="40" t="s">
        <v>650</v>
      </c>
      <c r="M84" s="47" t="s">
        <v>329</v>
      </c>
      <c r="N84" s="39" t="n">
        <v>5</v>
      </c>
      <c r="O84" s="40" t="s">
        <v>302</v>
      </c>
      <c r="P84" s="42" t="n">
        <v>0.944</v>
      </c>
      <c r="Q84" s="43" t="n">
        <f aca="false">IF(ISNUMBER(P84),ROUND((1-P84)*100,1),"NR")</f>
        <v>5.6</v>
      </c>
      <c r="R84" s="40" t="s">
        <v>72</v>
      </c>
      <c r="S84" s="40" t="s">
        <v>72</v>
      </c>
      <c r="T84" s="40" t="s">
        <v>651</v>
      </c>
      <c r="U84" s="39" t="n">
        <v>21000</v>
      </c>
      <c r="V84" s="39" t="n">
        <v>69000</v>
      </c>
      <c r="W84" s="39" t="n">
        <f aca="false">IF(AND(ISNUMBER(U84),ISNUMBER(V84)),ROUND((U84+V84)/2,0),IF(ISNUMBER(U84),U84,IF(ISNUMBER(V84),V84,"NR")))</f>
        <v>45000</v>
      </c>
      <c r="X84" s="40" t="s">
        <v>377</v>
      </c>
      <c r="Y84" s="40" t="s">
        <v>301</v>
      </c>
      <c r="Z84" s="40" t="s">
        <v>304</v>
      </c>
      <c r="AA84" s="40" t="s">
        <v>331</v>
      </c>
      <c r="AB84" s="40" t="s">
        <v>306</v>
      </c>
      <c r="AC84" s="40" t="s">
        <v>652</v>
      </c>
      <c r="AD84" s="44" t="s">
        <v>308</v>
      </c>
      <c r="AE84" s="44" t="s">
        <v>317</v>
      </c>
      <c r="AF84" s="44" t="s">
        <v>310</v>
      </c>
      <c r="AG84" s="44" t="s">
        <v>653</v>
      </c>
      <c r="AH84" s="45" t="s">
        <v>11</v>
      </c>
      <c r="AI84" s="46" t="s">
        <v>12</v>
      </c>
    </row>
    <row r="85" customFormat="false" ht="91" hidden="false" customHeight="false" outlineLevel="0" collapsed="false">
      <c r="A85" s="57" t="s">
        <v>654</v>
      </c>
      <c r="B85" s="58" t="s">
        <v>224</v>
      </c>
      <c r="C85" s="38" t="n">
        <f aca="false">IF(OR($R85="All",$R85="Not specified",ISNUMBER(SEARCH("K (",$R85))),$P85,1)</f>
        <v>0.412</v>
      </c>
      <c r="D85" s="38" t="n">
        <f aca="false">IF(OR($R85="All",$R85="Not specified",ISNUMBER(SEARCH("A (",$R85))),$P85,1)</f>
        <v>0.412</v>
      </c>
      <c r="E85" s="38" t="n">
        <f aca="false">IF(OR($R85="All",$R85="Not specified",ISNUMBER(SEARCH("B (",$R85))),$P85,1)</f>
        <v>0.412</v>
      </c>
      <c r="F85" s="38" t="n">
        <f aca="false">IF(OR($R85="All",$R85="Not specified",ISNUMBER(SEARCH("C (",$R85))),$P85,1)</f>
        <v>0.412</v>
      </c>
      <c r="G85" s="38" t="n">
        <f aca="false">IF(OR($R85="All",$R85="Not specified",ISNUMBER(SEARCH("O (",$R85))),$P85,1)</f>
        <v>0.412</v>
      </c>
      <c r="H85" s="39" t="n">
        <v>20</v>
      </c>
      <c r="I85" s="40"/>
      <c r="J85" s="40"/>
      <c r="K85" s="40"/>
      <c r="L85" s="40" t="s">
        <v>655</v>
      </c>
      <c r="M85" s="47" t="s">
        <v>329</v>
      </c>
      <c r="N85" s="39" t="n">
        <v>4</v>
      </c>
      <c r="O85" s="40" t="s">
        <v>72</v>
      </c>
      <c r="P85" s="42" t="n">
        <v>0.412</v>
      </c>
      <c r="Q85" s="43" t="n">
        <f aca="false">IF(ISNUMBER(P85),ROUND((1-P85)*100,1),"NR")</f>
        <v>58.8</v>
      </c>
      <c r="R85" s="40" t="s">
        <v>72</v>
      </c>
      <c r="S85" s="40" t="s">
        <v>604</v>
      </c>
      <c r="T85" s="40" t="s">
        <v>321</v>
      </c>
      <c r="U85" s="39" t="n">
        <v>2981</v>
      </c>
      <c r="V85" s="39" t="n">
        <v>18248</v>
      </c>
      <c r="W85" s="39" t="n">
        <f aca="false">IF(AND(ISNUMBER(U85),ISNUMBER(V85)),ROUND((U85+V85)/2,0),IF(ISNUMBER(U85),U85,IF(ISNUMBER(V85),V85,"NR")))</f>
        <v>10615</v>
      </c>
      <c r="X85" s="40" t="s">
        <v>321</v>
      </c>
      <c r="Y85" s="40" t="s">
        <v>301</v>
      </c>
      <c r="Z85" s="40" t="s">
        <v>304</v>
      </c>
      <c r="AA85" s="40" t="s">
        <v>305</v>
      </c>
      <c r="AB85" s="40" t="s">
        <v>306</v>
      </c>
      <c r="AC85" s="40" t="s">
        <v>656</v>
      </c>
      <c r="AD85" s="44" t="s">
        <v>308</v>
      </c>
      <c r="AE85" s="44" t="s">
        <v>317</v>
      </c>
      <c r="AF85" s="44" t="s">
        <v>605</v>
      </c>
      <c r="AG85" s="44" t="s">
        <v>657</v>
      </c>
      <c r="AH85" s="48" t="s">
        <v>13</v>
      </c>
      <c r="AI85" s="46" t="s">
        <v>606</v>
      </c>
    </row>
    <row r="86" customFormat="false" ht="91" hidden="false" customHeight="false" outlineLevel="0" collapsed="false">
      <c r="A86" s="57" t="s">
        <v>658</v>
      </c>
      <c r="B86" s="58" t="s">
        <v>224</v>
      </c>
      <c r="C86" s="38" t="n">
        <f aca="false">IF(OR($R86="All",$R86="Not specified",ISNUMBER(SEARCH("K (",$R86))),$P86,1)</f>
        <v>0.42</v>
      </c>
      <c r="D86" s="38" t="n">
        <f aca="false">IF(OR($R86="All",$R86="Not specified",ISNUMBER(SEARCH("A (",$R86))),$P86,1)</f>
        <v>0.42</v>
      </c>
      <c r="E86" s="38" t="n">
        <f aca="false">IF(OR($R86="All",$R86="Not specified",ISNUMBER(SEARCH("B (",$R86))),$P86,1)</f>
        <v>0.42</v>
      </c>
      <c r="F86" s="38" t="n">
        <f aca="false">IF(OR($R86="All",$R86="Not specified",ISNUMBER(SEARCH("C (",$R86))),$P86,1)</f>
        <v>0.42</v>
      </c>
      <c r="G86" s="38" t="n">
        <f aca="false">IF(OR($R86="All",$R86="Not specified",ISNUMBER(SEARCH("O (",$R86))),$P86,1)</f>
        <v>1</v>
      </c>
      <c r="H86" s="39" t="n">
        <v>20</v>
      </c>
      <c r="I86" s="40"/>
      <c r="J86" s="40"/>
      <c r="K86" s="40"/>
      <c r="L86" s="40" t="s">
        <v>659</v>
      </c>
      <c r="M86" s="47" t="s">
        <v>329</v>
      </c>
      <c r="N86" s="39" t="n">
        <v>4</v>
      </c>
      <c r="O86" s="40" t="s">
        <v>73</v>
      </c>
      <c r="P86" s="42" t="n">
        <v>0.42</v>
      </c>
      <c r="Q86" s="43" t="n">
        <f aca="false">IF(ISNUMBER(P86),ROUND((1-P86)*100,1),"NR")</f>
        <v>58</v>
      </c>
      <c r="R86" s="40" t="s">
        <v>299</v>
      </c>
      <c r="S86" s="40" t="s">
        <v>72</v>
      </c>
      <c r="T86" s="40" t="s">
        <v>371</v>
      </c>
      <c r="U86" s="39" t="n">
        <v>1500</v>
      </c>
      <c r="V86" s="39" t="n">
        <v>32400</v>
      </c>
      <c r="W86" s="39" t="n">
        <f aca="false">IF(AND(ISNUMBER(U86),ISNUMBER(V86)),ROUND((U86+V86)/2,0),IF(ISNUMBER(U86),U86,IF(ISNUMBER(V86),V86,"NR")))</f>
        <v>16950</v>
      </c>
      <c r="X86" s="40" t="s">
        <v>377</v>
      </c>
      <c r="Y86" s="40" t="s">
        <v>301</v>
      </c>
      <c r="Z86" s="40" t="s">
        <v>594</v>
      </c>
      <c r="AA86" s="40" t="s">
        <v>337</v>
      </c>
      <c r="AB86" s="40" t="s">
        <v>306</v>
      </c>
      <c r="AC86" s="40" t="s">
        <v>638</v>
      </c>
      <c r="AD86" s="44" t="s">
        <v>308</v>
      </c>
      <c r="AE86" s="44" t="s">
        <v>309</v>
      </c>
      <c r="AF86" s="44" t="s">
        <v>310</v>
      </c>
      <c r="AG86" s="44" t="s">
        <v>660</v>
      </c>
      <c r="AH86" s="45" t="s">
        <v>11</v>
      </c>
      <c r="AI86" s="46" t="s">
        <v>12</v>
      </c>
    </row>
    <row r="87" customFormat="false" ht="91" hidden="false" customHeight="false" outlineLevel="0" collapsed="false">
      <c r="A87" s="57" t="s">
        <v>641</v>
      </c>
      <c r="B87" s="58" t="s">
        <v>224</v>
      </c>
      <c r="C87" s="38" t="n">
        <f aca="false">IF(OR($R87="All",$R87="Not specified",ISNUMBER(SEARCH("K (",$R87))),$P87,1)</f>
        <v>0.45</v>
      </c>
      <c r="D87" s="38" t="n">
        <f aca="false">IF(OR($R87="All",$R87="Not specified",ISNUMBER(SEARCH("A (",$R87))),$P87,1)</f>
        <v>0.45</v>
      </c>
      <c r="E87" s="38" t="n">
        <f aca="false">IF(OR($R87="All",$R87="Not specified",ISNUMBER(SEARCH("B (",$R87))),$P87,1)</f>
        <v>0.45</v>
      </c>
      <c r="F87" s="38" t="n">
        <f aca="false">IF(OR($R87="All",$R87="Not specified",ISNUMBER(SEARCH("C (",$R87))),$P87,1)</f>
        <v>0.45</v>
      </c>
      <c r="G87" s="38" t="n">
        <f aca="false">IF(OR($R87="All",$R87="Not specified",ISNUMBER(SEARCH("O (",$R87))),$P87,1)</f>
        <v>1</v>
      </c>
      <c r="H87" s="39" t="n">
        <v>20</v>
      </c>
      <c r="I87" s="40"/>
      <c r="J87" s="40"/>
      <c r="K87" s="40"/>
      <c r="L87" s="40" t="s">
        <v>661</v>
      </c>
      <c r="M87" s="47" t="s">
        <v>329</v>
      </c>
      <c r="N87" s="39" t="n">
        <v>4</v>
      </c>
      <c r="O87" s="40" t="s">
        <v>73</v>
      </c>
      <c r="P87" s="42" t="n">
        <v>0.45</v>
      </c>
      <c r="Q87" s="43" t="n">
        <f aca="false">IF(ISNUMBER(P87),ROUND((1-P87)*100,1),"NR")</f>
        <v>55</v>
      </c>
      <c r="R87" s="40" t="s">
        <v>299</v>
      </c>
      <c r="S87" s="40" t="s">
        <v>72</v>
      </c>
      <c r="T87" s="40" t="s">
        <v>371</v>
      </c>
      <c r="U87" s="39" t="n">
        <v>1600</v>
      </c>
      <c r="V87" s="39" t="n">
        <v>32400</v>
      </c>
      <c r="W87" s="39" t="n">
        <f aca="false">IF(AND(ISNUMBER(U87),ISNUMBER(V87)),ROUND((U87+V87)/2,0),IF(ISNUMBER(U87),U87,IF(ISNUMBER(V87),V87,"NR")))</f>
        <v>17000</v>
      </c>
      <c r="X87" s="40" t="s">
        <v>377</v>
      </c>
      <c r="Y87" s="40" t="s">
        <v>301</v>
      </c>
      <c r="Z87" s="40" t="s">
        <v>594</v>
      </c>
      <c r="AA87" s="40" t="s">
        <v>643</v>
      </c>
      <c r="AB87" s="40" t="s">
        <v>306</v>
      </c>
      <c r="AC87" s="40" t="s">
        <v>638</v>
      </c>
      <c r="AD87" s="44" t="s">
        <v>308</v>
      </c>
      <c r="AE87" s="44" t="s">
        <v>309</v>
      </c>
      <c r="AF87" s="44" t="s">
        <v>310</v>
      </c>
      <c r="AG87" s="44" t="s">
        <v>644</v>
      </c>
      <c r="AH87" s="45" t="s">
        <v>11</v>
      </c>
      <c r="AI87" s="46" t="s">
        <v>12</v>
      </c>
    </row>
    <row r="88" customFormat="false" ht="23.85" hidden="false" customHeight="false" outlineLevel="0" collapsed="false">
      <c r="A88" s="57" t="s">
        <v>662</v>
      </c>
      <c r="B88" s="58" t="s">
        <v>224</v>
      </c>
      <c r="C88" s="38" t="n">
        <f aca="false">IF(OR($R88="All",$R88="Not specified",ISNUMBER(SEARCH("K (",$R88))),$P88,1)</f>
        <v>0.74</v>
      </c>
      <c r="D88" s="38" t="n">
        <f aca="false">IF(OR($R88="All",$R88="Not specified",ISNUMBER(SEARCH("A (",$R88))),$P88,1)</f>
        <v>0.74</v>
      </c>
      <c r="E88" s="38" t="n">
        <f aca="false">IF(OR($R88="All",$R88="Not specified",ISNUMBER(SEARCH("B (",$R88))),$P88,1)</f>
        <v>0.74</v>
      </c>
      <c r="F88" s="38" t="n">
        <f aca="false">IF(OR($R88="All",$R88="Not specified",ISNUMBER(SEARCH("C (",$R88))),$P88,1)</f>
        <v>0.74</v>
      </c>
      <c r="G88" s="38" t="n">
        <f aca="false">IF(OR($R88="All",$R88="Not specified",ISNUMBER(SEARCH("O (",$R88))),$P88,1)</f>
        <v>0.74</v>
      </c>
      <c r="H88" s="39" t="n">
        <v>20</v>
      </c>
      <c r="I88" s="40"/>
      <c r="J88" s="40"/>
      <c r="K88" s="40"/>
      <c r="L88" s="40" t="s">
        <v>663</v>
      </c>
      <c r="M88" s="47" t="s">
        <v>329</v>
      </c>
      <c r="N88" s="39" t="n">
        <v>4</v>
      </c>
      <c r="O88" s="40" t="s">
        <v>67</v>
      </c>
      <c r="P88" s="42" t="n">
        <v>0.74</v>
      </c>
      <c r="Q88" s="43" t="n">
        <f aca="false">IF(ISNUMBER(P88),ROUND((1-P88)*100,1),"NR")</f>
        <v>26</v>
      </c>
      <c r="R88" s="40" t="s">
        <v>72</v>
      </c>
      <c r="S88" s="40" t="s">
        <v>238</v>
      </c>
      <c r="T88" s="40" t="s">
        <v>321</v>
      </c>
      <c r="U88" s="39" t="s">
        <v>301</v>
      </c>
      <c r="V88" s="39" t="s">
        <v>301</v>
      </c>
      <c r="W88" s="39" t="str">
        <f aca="false">IF(AND(ISNUMBER(U88),ISNUMBER(V88)),ROUND((U88+V88)/2,0),IF(ISNUMBER(U88),U88,IF(ISNUMBER(V88),V88,"NR")))</f>
        <v>NR</v>
      </c>
      <c r="X88" s="40" t="s">
        <v>377</v>
      </c>
      <c r="Y88" s="40" t="s">
        <v>301</v>
      </c>
      <c r="Z88" s="40" t="s">
        <v>304</v>
      </c>
      <c r="AA88" s="40" t="s">
        <v>365</v>
      </c>
      <c r="AB88" s="40" t="s">
        <v>325</v>
      </c>
      <c r="AC88" s="40"/>
      <c r="AD88" s="44" t="s">
        <v>308</v>
      </c>
      <c r="AE88" s="44" t="s">
        <v>317</v>
      </c>
      <c r="AF88" s="44" t="s">
        <v>664</v>
      </c>
      <c r="AG88" s="44" t="s">
        <v>318</v>
      </c>
      <c r="AH88" s="48" t="s">
        <v>13</v>
      </c>
      <c r="AI88" s="46" t="s">
        <v>665</v>
      </c>
    </row>
    <row r="89" customFormat="false" ht="35.05" hidden="false" customHeight="false" outlineLevel="0" collapsed="false">
      <c r="A89" s="57" t="s">
        <v>666</v>
      </c>
      <c r="B89" s="58" t="s">
        <v>226</v>
      </c>
      <c r="C89" s="38" t="n">
        <f aca="false">IF(OR($R89="All",$R89="Not specified",ISNUMBER(SEARCH("K (",$R89))),$P89,1)</f>
        <v>1</v>
      </c>
      <c r="D89" s="38" t="n">
        <f aca="false">IF(OR($R89="All",$R89="Not specified",ISNUMBER(SEARCH("A (",$R89))),$P89,1)</f>
        <v>0.463</v>
      </c>
      <c r="E89" s="38" t="n">
        <f aca="false">IF(OR($R89="All",$R89="Not specified",ISNUMBER(SEARCH("B (",$R89))),$P89,1)</f>
        <v>0.463</v>
      </c>
      <c r="F89" s="38" t="n">
        <f aca="false">IF(OR($R89="All",$R89="Not specified",ISNUMBER(SEARCH("C (",$R89))),$P89,1)</f>
        <v>0.463</v>
      </c>
      <c r="G89" s="38" t="n">
        <f aca="false">IF(OR($R89="All",$R89="Not specified",ISNUMBER(SEARCH("O (",$R89))),$P89,1)</f>
        <v>1</v>
      </c>
      <c r="H89" s="39" t="n">
        <v>20</v>
      </c>
      <c r="I89" s="40"/>
      <c r="J89" s="40"/>
      <c r="K89" s="40"/>
      <c r="L89" s="40" t="s">
        <v>667</v>
      </c>
      <c r="M89" s="41" t="s">
        <v>298</v>
      </c>
      <c r="N89" s="39" t="n">
        <v>2</v>
      </c>
      <c r="O89" s="40" t="s">
        <v>73</v>
      </c>
      <c r="P89" s="42" t="n">
        <v>0.463</v>
      </c>
      <c r="Q89" s="43" t="n">
        <f aca="false">IF(ISNUMBER(P89),ROUND((1-P89)*100,1),"NR")</f>
        <v>53.7</v>
      </c>
      <c r="R89" s="40" t="s">
        <v>396</v>
      </c>
      <c r="S89" s="40" t="s">
        <v>72</v>
      </c>
      <c r="T89" s="40" t="s">
        <v>300</v>
      </c>
      <c r="U89" s="39" t="n">
        <v>10326</v>
      </c>
      <c r="V89" s="39" t="n">
        <v>26470</v>
      </c>
      <c r="W89" s="39" t="n">
        <f aca="false">IF(AND(ISNUMBER(U89),ISNUMBER(V89)),ROUND((U89+V89)/2,0),IF(ISNUMBER(U89),U89,IF(ISNUMBER(V89),V89,"NR")))</f>
        <v>18398</v>
      </c>
      <c r="X89" s="40" t="s">
        <v>377</v>
      </c>
      <c r="Y89" s="40" t="s">
        <v>668</v>
      </c>
      <c r="Z89" s="40" t="s">
        <v>304</v>
      </c>
      <c r="AA89" s="40" t="s">
        <v>337</v>
      </c>
      <c r="AB89" s="40" t="s">
        <v>306</v>
      </c>
      <c r="AC89" s="40"/>
      <c r="AD89" s="44" t="s">
        <v>308</v>
      </c>
      <c r="AE89" s="44" t="s">
        <v>309</v>
      </c>
      <c r="AF89" s="44" t="s">
        <v>310</v>
      </c>
      <c r="AG89" s="44" t="s">
        <v>669</v>
      </c>
      <c r="AH89" s="45" t="s">
        <v>11</v>
      </c>
      <c r="AI89" s="46" t="s">
        <v>12</v>
      </c>
    </row>
    <row r="90" customFormat="false" ht="46.25" hidden="false" customHeight="false" outlineLevel="0" collapsed="false">
      <c r="A90" s="57" t="s">
        <v>670</v>
      </c>
      <c r="B90" s="58" t="s">
        <v>226</v>
      </c>
      <c r="C90" s="38" t="n">
        <f aca="false">IF(OR($R90="All",$R90="Not specified",ISNUMBER(SEARCH("K (",$R90))),$P90,1)</f>
        <v>0.78</v>
      </c>
      <c r="D90" s="38" t="n">
        <f aca="false">IF(OR($R90="All",$R90="Not specified",ISNUMBER(SEARCH("A (",$R90))),$P90,1)</f>
        <v>0.78</v>
      </c>
      <c r="E90" s="38" t="n">
        <f aca="false">IF(OR($R90="All",$R90="Not specified",ISNUMBER(SEARCH("B (",$R90))),$P90,1)</f>
        <v>0.78</v>
      </c>
      <c r="F90" s="38" t="n">
        <f aca="false">IF(OR($R90="All",$R90="Not specified",ISNUMBER(SEARCH("C (",$R90))),$P90,1)</f>
        <v>0.78</v>
      </c>
      <c r="G90" s="38" t="n">
        <f aca="false">IF(OR($R90="All",$R90="Not specified",ISNUMBER(SEARCH("O (",$R90))),$P90,1)</f>
        <v>1</v>
      </c>
      <c r="H90" s="39" t="n">
        <v>20</v>
      </c>
      <c r="I90" s="40"/>
      <c r="J90" s="40"/>
      <c r="K90" s="40"/>
      <c r="L90" s="40" t="s">
        <v>671</v>
      </c>
      <c r="M90" s="41" t="s">
        <v>298</v>
      </c>
      <c r="N90" s="39" t="n">
        <v>3</v>
      </c>
      <c r="O90" s="40" t="s">
        <v>672</v>
      </c>
      <c r="P90" s="42" t="n">
        <v>0.78</v>
      </c>
      <c r="Q90" s="43" t="n">
        <f aca="false">IF(ISNUMBER(P90),ROUND((1-P90)*100,1),"NR")</f>
        <v>22</v>
      </c>
      <c r="R90" s="40" t="s">
        <v>299</v>
      </c>
      <c r="S90" s="40" t="s">
        <v>72</v>
      </c>
      <c r="T90" s="40" t="s">
        <v>314</v>
      </c>
      <c r="U90" s="39" t="s">
        <v>301</v>
      </c>
      <c r="V90" s="39" t="s">
        <v>301</v>
      </c>
      <c r="W90" s="39" t="str">
        <f aca="false">IF(AND(ISNUMBER(U90),ISNUMBER(V90)),ROUND((U90+V90)/2,0),IF(ISNUMBER(U90),U90,IF(ISNUMBER(V90),V90,"NR")))</f>
        <v>NR</v>
      </c>
      <c r="X90" s="40" t="s">
        <v>377</v>
      </c>
      <c r="Y90" s="40" t="s">
        <v>673</v>
      </c>
      <c r="Z90" s="40" t="s">
        <v>304</v>
      </c>
      <c r="AA90" s="40" t="s">
        <v>480</v>
      </c>
      <c r="AB90" s="40" t="s">
        <v>674</v>
      </c>
      <c r="AC90" s="40"/>
      <c r="AD90" s="44" t="s">
        <v>308</v>
      </c>
      <c r="AE90" s="44" t="s">
        <v>309</v>
      </c>
      <c r="AF90" s="44" t="s">
        <v>310</v>
      </c>
      <c r="AG90" s="44" t="s">
        <v>318</v>
      </c>
      <c r="AH90" s="45" t="s">
        <v>11</v>
      </c>
      <c r="AI90" s="46" t="s">
        <v>12</v>
      </c>
    </row>
    <row r="91" customFormat="false" ht="35.05" hidden="false" customHeight="false" outlineLevel="0" collapsed="false">
      <c r="A91" s="57" t="s">
        <v>675</v>
      </c>
      <c r="B91" s="58" t="s">
        <v>226</v>
      </c>
      <c r="C91" s="38" t="n">
        <f aca="false">IF(OR($R91="All",$R91="Not specified",ISNUMBER(SEARCH("K (",$R91))),$P91,1)</f>
        <v>1</v>
      </c>
      <c r="D91" s="38" t="n">
        <f aca="false">IF(OR($R91="All",$R91="Not specified",ISNUMBER(SEARCH("A (",$R91))),$P91,1)</f>
        <v>0.7029</v>
      </c>
      <c r="E91" s="38" t="n">
        <f aca="false">IF(OR($R91="All",$R91="Not specified",ISNUMBER(SEARCH("B (",$R91))),$P91,1)</f>
        <v>0.7029</v>
      </c>
      <c r="F91" s="38" t="n">
        <f aca="false">IF(OR($R91="All",$R91="Not specified",ISNUMBER(SEARCH("C (",$R91))),$P91,1)</f>
        <v>0.7029</v>
      </c>
      <c r="G91" s="38" t="n">
        <f aca="false">IF(OR($R91="All",$R91="Not specified",ISNUMBER(SEARCH("O (",$R91))),$P91,1)</f>
        <v>1</v>
      </c>
      <c r="H91" s="39" t="n">
        <v>20</v>
      </c>
      <c r="I91" s="40"/>
      <c r="J91" s="40"/>
      <c r="K91" s="40"/>
      <c r="L91" s="40" t="s">
        <v>676</v>
      </c>
      <c r="M91" s="41" t="s">
        <v>298</v>
      </c>
      <c r="N91" s="39" t="n">
        <v>5</v>
      </c>
      <c r="O91" s="40" t="s">
        <v>370</v>
      </c>
      <c r="P91" s="42" t="n">
        <v>0.7029</v>
      </c>
      <c r="Q91" s="43" t="n">
        <f aca="false">IF(ISNUMBER(P91),ROUND((1-P91)*100,1),"NR")</f>
        <v>29.7</v>
      </c>
      <c r="R91" s="40" t="s">
        <v>396</v>
      </c>
      <c r="S91" s="40" t="s">
        <v>72</v>
      </c>
      <c r="T91" s="40" t="s">
        <v>321</v>
      </c>
      <c r="U91" s="39" t="n">
        <v>19267</v>
      </c>
      <c r="V91" s="39" t="n">
        <v>72074</v>
      </c>
      <c r="W91" s="39" t="n">
        <f aca="false">IF(AND(ISNUMBER(U91),ISNUMBER(V91)),ROUND((U91+V91)/2,0),IF(ISNUMBER(U91),U91,IF(ISNUMBER(V91),V91,"NR")))</f>
        <v>45671</v>
      </c>
      <c r="X91" s="40" t="s">
        <v>377</v>
      </c>
      <c r="Y91" s="40" t="s">
        <v>301</v>
      </c>
      <c r="Z91" s="40" t="s">
        <v>304</v>
      </c>
      <c r="AA91" s="40" t="s">
        <v>365</v>
      </c>
      <c r="AB91" s="40" t="s">
        <v>325</v>
      </c>
      <c r="AC91" s="40" t="s">
        <v>677</v>
      </c>
      <c r="AD91" s="44" t="s">
        <v>308</v>
      </c>
      <c r="AE91" s="44" t="s">
        <v>309</v>
      </c>
      <c r="AF91" s="44" t="s">
        <v>310</v>
      </c>
      <c r="AG91" s="44" t="s">
        <v>678</v>
      </c>
      <c r="AH91" s="45" t="s">
        <v>11</v>
      </c>
      <c r="AI91" s="46" t="s">
        <v>12</v>
      </c>
    </row>
    <row r="92" customFormat="false" ht="35.05" hidden="false" customHeight="false" outlineLevel="0" collapsed="false">
      <c r="A92" s="57" t="s">
        <v>679</v>
      </c>
      <c r="B92" s="58" t="s">
        <v>226</v>
      </c>
      <c r="C92" s="38" t="n">
        <f aca="false">IF(OR($R92="All",$R92="Not specified",ISNUMBER(SEARCH("K (",$R92))),$P92,1)</f>
        <v>0.706</v>
      </c>
      <c r="D92" s="38" t="n">
        <f aca="false">IF(OR($R92="All",$R92="Not specified",ISNUMBER(SEARCH("A (",$R92))),$P92,1)</f>
        <v>0.706</v>
      </c>
      <c r="E92" s="38" t="n">
        <f aca="false">IF(OR($R92="All",$R92="Not specified",ISNUMBER(SEARCH("B (",$R92))),$P92,1)</f>
        <v>0.706</v>
      </c>
      <c r="F92" s="38" t="n">
        <f aca="false">IF(OR($R92="All",$R92="Not specified",ISNUMBER(SEARCH("C (",$R92))),$P92,1)</f>
        <v>0.706</v>
      </c>
      <c r="G92" s="38" t="n">
        <f aca="false">IF(OR($R92="All",$R92="Not specified",ISNUMBER(SEARCH("O (",$R92))),$P92,1)</f>
        <v>0.706</v>
      </c>
      <c r="H92" s="39" t="n">
        <v>20</v>
      </c>
      <c r="I92" s="40"/>
      <c r="J92" s="40"/>
      <c r="K92" s="40"/>
      <c r="L92" s="40" t="s">
        <v>680</v>
      </c>
      <c r="M92" s="47" t="s">
        <v>329</v>
      </c>
      <c r="N92" s="39" t="n">
        <v>5</v>
      </c>
      <c r="O92" s="40" t="s">
        <v>72</v>
      </c>
      <c r="P92" s="42" t="n">
        <v>0.706</v>
      </c>
      <c r="Q92" s="43" t="n">
        <f aca="false">IF(ISNUMBER(P92),ROUND((1-P92)*100,1),"NR")</f>
        <v>29.4</v>
      </c>
      <c r="R92" s="40" t="s">
        <v>72</v>
      </c>
      <c r="S92" s="40" t="s">
        <v>238</v>
      </c>
      <c r="T92" s="40" t="s">
        <v>72</v>
      </c>
      <c r="U92" s="39" t="n">
        <v>21740</v>
      </c>
      <c r="V92" s="39" t="n">
        <v>64000</v>
      </c>
      <c r="W92" s="39" t="n">
        <f aca="false">IF(AND(ISNUMBER(U92),ISNUMBER(V92)),ROUND((U92+V92)/2,0),IF(ISNUMBER(U92),U92,IF(ISNUMBER(V92),V92,"NR")))</f>
        <v>42870</v>
      </c>
      <c r="X92" s="40" t="s">
        <v>377</v>
      </c>
      <c r="Y92" s="40" t="s">
        <v>301</v>
      </c>
      <c r="Z92" s="40" t="s">
        <v>304</v>
      </c>
      <c r="AA92" s="40" t="s">
        <v>331</v>
      </c>
      <c r="AB92" s="40" t="s">
        <v>306</v>
      </c>
      <c r="AC92" s="40" t="s">
        <v>681</v>
      </c>
      <c r="AD92" s="44" t="s">
        <v>308</v>
      </c>
      <c r="AE92" s="44" t="s">
        <v>317</v>
      </c>
      <c r="AF92" s="44" t="s">
        <v>664</v>
      </c>
      <c r="AG92" s="44" t="s">
        <v>682</v>
      </c>
      <c r="AH92" s="48" t="s">
        <v>13</v>
      </c>
      <c r="AI92" s="46" t="s">
        <v>665</v>
      </c>
    </row>
    <row r="93" customFormat="false" ht="35.05" hidden="false" customHeight="false" outlineLevel="0" collapsed="false">
      <c r="A93" s="57" t="s">
        <v>683</v>
      </c>
      <c r="B93" s="58" t="s">
        <v>226</v>
      </c>
      <c r="C93" s="38" t="n">
        <f aca="false">IF(OR($R93="All",$R93="Not specified",ISNUMBER(SEARCH("K (",$R93))),$P93,1)</f>
        <v>0.42</v>
      </c>
      <c r="D93" s="38" t="n">
        <f aca="false">IF(OR($R93="All",$R93="Not specified",ISNUMBER(SEARCH("A (",$R93))),$P93,1)</f>
        <v>0.42</v>
      </c>
      <c r="E93" s="38" t="n">
        <f aca="false">IF(OR($R93="All",$R93="Not specified",ISNUMBER(SEARCH("B (",$R93))),$P93,1)</f>
        <v>0.42</v>
      </c>
      <c r="F93" s="38" t="n">
        <f aca="false">IF(OR($R93="All",$R93="Not specified",ISNUMBER(SEARCH("C (",$R93))),$P93,1)</f>
        <v>0.42</v>
      </c>
      <c r="G93" s="38" t="n">
        <f aca="false">IF(OR($R93="All",$R93="Not specified",ISNUMBER(SEARCH("O (",$R93))),$P93,1)</f>
        <v>0.42</v>
      </c>
      <c r="H93" s="39" t="n">
        <v>20</v>
      </c>
      <c r="I93" s="40"/>
      <c r="J93" s="40"/>
      <c r="K93" s="40"/>
      <c r="L93" s="40" t="s">
        <v>684</v>
      </c>
      <c r="M93" s="47" t="s">
        <v>329</v>
      </c>
      <c r="N93" s="39" t="n">
        <v>4</v>
      </c>
      <c r="O93" s="40" t="s">
        <v>72</v>
      </c>
      <c r="P93" s="42" t="n">
        <v>0.42</v>
      </c>
      <c r="Q93" s="43" t="n">
        <f aca="false">IF(ISNUMBER(P93),ROUND((1-P93)*100,1),"NR")</f>
        <v>58</v>
      </c>
      <c r="R93" s="40" t="s">
        <v>72</v>
      </c>
      <c r="S93" s="40" t="s">
        <v>72</v>
      </c>
      <c r="T93" s="40" t="s">
        <v>321</v>
      </c>
      <c r="U93" s="39" t="n">
        <v>59833</v>
      </c>
      <c r="V93" s="39" t="n">
        <v>59833</v>
      </c>
      <c r="W93" s="39" t="n">
        <f aca="false">IF(AND(ISNUMBER(U93),ISNUMBER(V93)),ROUND((U93+V93)/2,0),IF(ISNUMBER(U93),U93,IF(ISNUMBER(V93),V93,"NR")))</f>
        <v>59833</v>
      </c>
      <c r="X93" s="40" t="s">
        <v>377</v>
      </c>
      <c r="Y93" s="40" t="s">
        <v>301</v>
      </c>
      <c r="Z93" s="40" t="s">
        <v>304</v>
      </c>
      <c r="AA93" s="40" t="s">
        <v>355</v>
      </c>
      <c r="AB93" s="40" t="s">
        <v>306</v>
      </c>
      <c r="AC93" s="40" t="s">
        <v>685</v>
      </c>
      <c r="AD93" s="44" t="s">
        <v>308</v>
      </c>
      <c r="AE93" s="44" t="s">
        <v>317</v>
      </c>
      <c r="AF93" s="44" t="s">
        <v>310</v>
      </c>
      <c r="AG93" s="44" t="s">
        <v>686</v>
      </c>
      <c r="AH93" s="45" t="s">
        <v>11</v>
      </c>
      <c r="AI93" s="46" t="s">
        <v>12</v>
      </c>
    </row>
    <row r="94" customFormat="false" ht="35.05" hidden="false" customHeight="false" outlineLevel="0" collapsed="false">
      <c r="A94" s="57" t="s">
        <v>687</v>
      </c>
      <c r="B94" s="58" t="s">
        <v>226</v>
      </c>
      <c r="C94" s="38" t="n">
        <f aca="false">IF(OR($R94="All",$R94="Not specified",ISNUMBER(SEARCH("K (",$R94))),$P94,1)</f>
        <v>0.1719</v>
      </c>
      <c r="D94" s="38" t="n">
        <f aca="false">IF(OR($R94="All",$R94="Not specified",ISNUMBER(SEARCH("A (",$R94))),$P94,1)</f>
        <v>0.1719</v>
      </c>
      <c r="E94" s="38" t="n">
        <f aca="false">IF(OR($R94="All",$R94="Not specified",ISNUMBER(SEARCH("B (",$R94))),$P94,1)</f>
        <v>0.1719</v>
      </c>
      <c r="F94" s="38" t="n">
        <f aca="false">IF(OR($R94="All",$R94="Not specified",ISNUMBER(SEARCH("C (",$R94))),$P94,1)</f>
        <v>0.1719</v>
      </c>
      <c r="G94" s="38" t="n">
        <f aca="false">IF(OR($R94="All",$R94="Not specified",ISNUMBER(SEARCH("O (",$R94))),$P94,1)</f>
        <v>0.1719</v>
      </c>
      <c r="H94" s="39" t="n">
        <v>20</v>
      </c>
      <c r="I94" s="40"/>
      <c r="J94" s="40"/>
      <c r="K94" s="40"/>
      <c r="L94" s="40" t="s">
        <v>688</v>
      </c>
      <c r="M94" s="47" t="s">
        <v>329</v>
      </c>
      <c r="N94" s="39" t="n">
        <v>5</v>
      </c>
      <c r="O94" s="40" t="s">
        <v>370</v>
      </c>
      <c r="P94" s="42" t="n">
        <v>0.1719</v>
      </c>
      <c r="Q94" s="43" t="n">
        <f aca="false">IF(ISNUMBER(P94),ROUND((1-P94)*100,1),"NR")</f>
        <v>82.8</v>
      </c>
      <c r="R94" s="40" t="s">
        <v>72</v>
      </c>
      <c r="S94" s="40" t="s">
        <v>514</v>
      </c>
      <c r="T94" s="40" t="s">
        <v>321</v>
      </c>
      <c r="U94" s="39" t="n">
        <v>25512</v>
      </c>
      <c r="V94" s="39" t="n">
        <v>85076</v>
      </c>
      <c r="W94" s="39" t="n">
        <f aca="false">IF(AND(ISNUMBER(U94),ISNUMBER(V94)),ROUND((U94+V94)/2,0),IF(ISNUMBER(U94),U94,IF(ISNUMBER(V94),V94,"NR")))</f>
        <v>55294</v>
      </c>
      <c r="X94" s="40" t="s">
        <v>377</v>
      </c>
      <c r="Y94" s="40" t="s">
        <v>301</v>
      </c>
      <c r="Z94" s="40" t="s">
        <v>304</v>
      </c>
      <c r="AA94" s="40" t="s">
        <v>365</v>
      </c>
      <c r="AB94" s="40" t="s">
        <v>325</v>
      </c>
      <c r="AC94" s="40" t="s">
        <v>689</v>
      </c>
      <c r="AD94" s="44" t="s">
        <v>308</v>
      </c>
      <c r="AE94" s="44" t="s">
        <v>317</v>
      </c>
      <c r="AF94" s="44" t="s">
        <v>516</v>
      </c>
      <c r="AG94" s="44" t="s">
        <v>690</v>
      </c>
      <c r="AH94" s="48" t="s">
        <v>13</v>
      </c>
      <c r="AI94" s="46" t="s">
        <v>691</v>
      </c>
    </row>
    <row r="95" customFormat="false" ht="46.25" hidden="false" customHeight="false" outlineLevel="0" collapsed="false">
      <c r="A95" s="57" t="s">
        <v>692</v>
      </c>
      <c r="B95" s="58" t="s">
        <v>229</v>
      </c>
      <c r="C95" s="38" t="n">
        <f aca="false">IF(OR($R95="All",$R95="Not specified",ISNUMBER(SEARCH("K (",$R95))),$P95,1)</f>
        <v>0.862</v>
      </c>
      <c r="D95" s="38" t="n">
        <f aca="false">IF(OR($R95="All",$R95="Not specified",ISNUMBER(SEARCH("A (",$R95))),$P95,1)</f>
        <v>0.862</v>
      </c>
      <c r="E95" s="38" t="n">
        <f aca="false">IF(OR($R95="All",$R95="Not specified",ISNUMBER(SEARCH("B (",$R95))),$P95,1)</f>
        <v>0.862</v>
      </c>
      <c r="F95" s="38" t="n">
        <f aca="false">IF(OR($R95="All",$R95="Not specified",ISNUMBER(SEARCH("C (",$R95))),$P95,1)</f>
        <v>0.862</v>
      </c>
      <c r="G95" s="38" t="n">
        <f aca="false">IF(OR($R95="All",$R95="Not specified",ISNUMBER(SEARCH("O (",$R95))),$P95,1)</f>
        <v>0.862</v>
      </c>
      <c r="H95" s="39" t="n">
        <v>20</v>
      </c>
      <c r="I95" s="40"/>
      <c r="J95" s="40"/>
      <c r="K95" s="40"/>
      <c r="L95" s="40" t="s">
        <v>693</v>
      </c>
      <c r="M95" s="47" t="s">
        <v>329</v>
      </c>
      <c r="N95" s="39" t="n">
        <v>5</v>
      </c>
      <c r="O95" s="40" t="s">
        <v>67</v>
      </c>
      <c r="P95" s="42" t="n">
        <v>0.862</v>
      </c>
      <c r="Q95" s="43" t="n">
        <f aca="false">IF(ISNUMBER(P95),ROUND((1-P95)*100,1),"NR")</f>
        <v>13.8</v>
      </c>
      <c r="R95" s="40" t="s">
        <v>72</v>
      </c>
      <c r="S95" s="40" t="s">
        <v>694</v>
      </c>
      <c r="T95" s="40" t="s">
        <v>321</v>
      </c>
      <c r="U95" s="39" t="n">
        <v>4857</v>
      </c>
      <c r="V95" s="39" t="n">
        <v>74990</v>
      </c>
      <c r="W95" s="39" t="n">
        <f aca="false">IF(AND(ISNUMBER(U95),ISNUMBER(V95)),ROUND((U95+V95)/2,0),IF(ISNUMBER(U95),U95,IF(ISNUMBER(V95),V95,"NR")))</f>
        <v>39924</v>
      </c>
      <c r="X95" s="40" t="s">
        <v>377</v>
      </c>
      <c r="Y95" s="40" t="s">
        <v>301</v>
      </c>
      <c r="Z95" s="40" t="s">
        <v>304</v>
      </c>
      <c r="AA95" s="40" t="s">
        <v>305</v>
      </c>
      <c r="AB95" s="40" t="s">
        <v>306</v>
      </c>
      <c r="AC95" s="40" t="s">
        <v>695</v>
      </c>
      <c r="AD95" s="44" t="s">
        <v>308</v>
      </c>
      <c r="AE95" s="44" t="s">
        <v>317</v>
      </c>
      <c r="AF95" s="44" t="s">
        <v>696</v>
      </c>
      <c r="AG95" s="44" t="s">
        <v>697</v>
      </c>
      <c r="AH95" s="51" t="s">
        <v>9</v>
      </c>
      <c r="AI95" s="46"/>
    </row>
    <row r="96" customFormat="false" ht="46.25" hidden="false" customHeight="false" outlineLevel="0" collapsed="false">
      <c r="A96" s="57" t="s">
        <v>698</v>
      </c>
      <c r="B96" s="58" t="s">
        <v>229</v>
      </c>
      <c r="C96" s="38" t="n">
        <f aca="false">IF(OR($R96="All",$R96="Not specified",ISNUMBER(SEARCH("K (",$R96))),$P96,1)</f>
        <v>0.942</v>
      </c>
      <c r="D96" s="38" t="n">
        <f aca="false">IF(OR($R96="All",$R96="Not specified",ISNUMBER(SEARCH("A (",$R96))),$P96,1)</f>
        <v>0.942</v>
      </c>
      <c r="E96" s="38" t="n">
        <f aca="false">IF(OR($R96="All",$R96="Not specified",ISNUMBER(SEARCH("B (",$R96))),$P96,1)</f>
        <v>0.942</v>
      </c>
      <c r="F96" s="38" t="n">
        <f aca="false">IF(OR($R96="All",$R96="Not specified",ISNUMBER(SEARCH("C (",$R96))),$P96,1)</f>
        <v>0.942</v>
      </c>
      <c r="G96" s="38" t="n">
        <f aca="false">IF(OR($R96="All",$R96="Not specified",ISNUMBER(SEARCH("O (",$R96))),$P96,1)</f>
        <v>1</v>
      </c>
      <c r="H96" s="39" t="n">
        <v>20</v>
      </c>
      <c r="I96" s="40"/>
      <c r="J96" s="40"/>
      <c r="K96" s="40"/>
      <c r="L96" s="40" t="s">
        <v>699</v>
      </c>
      <c r="M96" s="47" t="s">
        <v>329</v>
      </c>
      <c r="N96" s="39" t="n">
        <v>5</v>
      </c>
      <c r="O96" s="40" t="s">
        <v>302</v>
      </c>
      <c r="P96" s="42" t="n">
        <v>0.942</v>
      </c>
      <c r="Q96" s="43" t="n">
        <f aca="false">IF(ISNUMBER(P96),ROUND((1-P96)*100,1),"NR")</f>
        <v>5.8</v>
      </c>
      <c r="R96" s="40" t="s">
        <v>299</v>
      </c>
      <c r="S96" s="40" t="s">
        <v>514</v>
      </c>
      <c r="T96" s="40" t="s">
        <v>72</v>
      </c>
      <c r="U96" s="39" t="s">
        <v>301</v>
      </c>
      <c r="V96" s="39" t="s">
        <v>301</v>
      </c>
      <c r="W96" s="39" t="str">
        <f aca="false">IF(AND(ISNUMBER(U96),ISNUMBER(V96)),ROUND((U96+V96)/2,0),IF(ISNUMBER(U96),U96,IF(ISNUMBER(V96),V96,"NR")))</f>
        <v>NR</v>
      </c>
      <c r="X96" s="40" t="s">
        <v>377</v>
      </c>
      <c r="Y96" s="40" t="s">
        <v>301</v>
      </c>
      <c r="Z96" s="40" t="s">
        <v>304</v>
      </c>
      <c r="AA96" s="40" t="s">
        <v>305</v>
      </c>
      <c r="AB96" s="40" t="s">
        <v>306</v>
      </c>
      <c r="AC96" s="40" t="s">
        <v>700</v>
      </c>
      <c r="AD96" s="44" t="s">
        <v>308</v>
      </c>
      <c r="AE96" s="44" t="s">
        <v>309</v>
      </c>
      <c r="AF96" s="44" t="s">
        <v>516</v>
      </c>
      <c r="AG96" s="44" t="s">
        <v>318</v>
      </c>
      <c r="AH96" s="45" t="s">
        <v>11</v>
      </c>
      <c r="AI96" s="46" t="s">
        <v>12</v>
      </c>
    </row>
    <row r="97" customFormat="false" ht="57.45" hidden="false" customHeight="false" outlineLevel="0" collapsed="false">
      <c r="A97" s="57" t="s">
        <v>701</v>
      </c>
      <c r="B97" s="58" t="s">
        <v>229</v>
      </c>
      <c r="C97" s="38" t="n">
        <f aca="false">IF(OR($R97="All",$R97="Not specified",ISNUMBER(SEARCH("K (",$R97))),$P97,1)</f>
        <v>0.4</v>
      </c>
      <c r="D97" s="38" t="n">
        <f aca="false">IF(OR($R97="All",$R97="Not specified",ISNUMBER(SEARCH("A (",$R97))),$P97,1)</f>
        <v>0.4</v>
      </c>
      <c r="E97" s="38" t="n">
        <f aca="false">IF(OR($R97="All",$R97="Not specified",ISNUMBER(SEARCH("B (",$R97))),$P97,1)</f>
        <v>0.4</v>
      </c>
      <c r="F97" s="38" t="n">
        <f aca="false">IF(OR($R97="All",$R97="Not specified",ISNUMBER(SEARCH("C (",$R97))),$P97,1)</f>
        <v>0.4</v>
      </c>
      <c r="G97" s="38" t="n">
        <f aca="false">IF(OR($R97="All",$R97="Not specified",ISNUMBER(SEARCH("O (",$R97))),$P97,1)</f>
        <v>0.4</v>
      </c>
      <c r="H97" s="39" t="n">
        <v>20</v>
      </c>
      <c r="I97" s="40"/>
      <c r="J97" s="40"/>
      <c r="K97" s="40"/>
      <c r="L97" s="40" t="s">
        <v>702</v>
      </c>
      <c r="M97" s="47" t="s">
        <v>329</v>
      </c>
      <c r="N97" s="39" t="n">
        <v>4</v>
      </c>
      <c r="O97" s="40" t="s">
        <v>370</v>
      </c>
      <c r="P97" s="42" t="n">
        <v>0.4</v>
      </c>
      <c r="Q97" s="43" t="n">
        <f aca="false">IF(ISNUMBER(P97),ROUND((1-P97)*100,1),"NR")</f>
        <v>60</v>
      </c>
      <c r="R97" s="40" t="s">
        <v>72</v>
      </c>
      <c r="S97" s="40" t="s">
        <v>604</v>
      </c>
      <c r="T97" s="40" t="s">
        <v>72</v>
      </c>
      <c r="U97" s="39" t="s">
        <v>301</v>
      </c>
      <c r="V97" s="39" t="s">
        <v>301</v>
      </c>
      <c r="W97" s="39" t="str">
        <f aca="false">IF(AND(ISNUMBER(U97),ISNUMBER(V97)),ROUND((U97+V97)/2,0),IF(ISNUMBER(U97),U97,IF(ISNUMBER(V97),V97,"NR")))</f>
        <v>NR</v>
      </c>
      <c r="X97" s="40" t="s">
        <v>377</v>
      </c>
      <c r="Y97" s="40" t="s">
        <v>301</v>
      </c>
      <c r="Z97" s="40" t="s">
        <v>304</v>
      </c>
      <c r="AA97" s="40" t="s">
        <v>531</v>
      </c>
      <c r="AB97" s="40" t="s">
        <v>306</v>
      </c>
      <c r="AC97" s="40" t="s">
        <v>703</v>
      </c>
      <c r="AD97" s="44" t="s">
        <v>308</v>
      </c>
      <c r="AE97" s="44" t="s">
        <v>317</v>
      </c>
      <c r="AF97" s="44" t="s">
        <v>605</v>
      </c>
      <c r="AG97" s="44" t="s">
        <v>318</v>
      </c>
      <c r="AH97" s="56" t="s">
        <v>15</v>
      </c>
      <c r="AI97" s="46" t="s">
        <v>704</v>
      </c>
    </row>
    <row r="98" customFormat="false" ht="35.05" hidden="false" customHeight="false" outlineLevel="0" collapsed="false">
      <c r="A98" s="57" t="s">
        <v>705</v>
      </c>
      <c r="B98" s="58" t="s">
        <v>229</v>
      </c>
      <c r="C98" s="38" t="n">
        <f aca="false">IF(OR($R98="All",$R98="Not specified",ISNUMBER(SEARCH("K (",$R98))),$P98,1)</f>
        <v>0.635</v>
      </c>
      <c r="D98" s="38" t="n">
        <f aca="false">IF(OR($R98="All",$R98="Not specified",ISNUMBER(SEARCH("A (",$R98))),$P98,1)</f>
        <v>0.635</v>
      </c>
      <c r="E98" s="38" t="n">
        <f aca="false">IF(OR($R98="All",$R98="Not specified",ISNUMBER(SEARCH("B (",$R98))),$P98,1)</f>
        <v>0.635</v>
      </c>
      <c r="F98" s="38" t="n">
        <f aca="false">IF(OR($R98="All",$R98="Not specified",ISNUMBER(SEARCH("C (",$R98))),$P98,1)</f>
        <v>0.635</v>
      </c>
      <c r="G98" s="38" t="n">
        <f aca="false">IF(OR($R98="All",$R98="Not specified",ISNUMBER(SEARCH("O (",$R98))),$P98,1)</f>
        <v>0.635</v>
      </c>
      <c r="H98" s="39" t="n">
        <v>20</v>
      </c>
      <c r="I98" s="40"/>
      <c r="J98" s="40"/>
      <c r="K98" s="40"/>
      <c r="L98" s="40" t="s">
        <v>706</v>
      </c>
      <c r="M98" s="47" t="s">
        <v>329</v>
      </c>
      <c r="N98" s="39" t="n">
        <v>4</v>
      </c>
      <c r="O98" s="40" t="s">
        <v>67</v>
      </c>
      <c r="P98" s="42" t="n">
        <v>0.635</v>
      </c>
      <c r="Q98" s="43" t="n">
        <f aca="false">IF(ISNUMBER(P98),ROUND((1-P98)*100,1),"NR")</f>
        <v>36.5</v>
      </c>
      <c r="R98" s="40" t="s">
        <v>72</v>
      </c>
      <c r="S98" s="40" t="s">
        <v>694</v>
      </c>
      <c r="T98" s="40" t="s">
        <v>371</v>
      </c>
      <c r="U98" s="39" t="n">
        <v>8260</v>
      </c>
      <c r="V98" s="39" t="n">
        <v>43000</v>
      </c>
      <c r="W98" s="39" t="n">
        <f aca="false">IF(AND(ISNUMBER(U98),ISNUMBER(V98)),ROUND((U98+V98)/2,0),IF(ISNUMBER(U98),U98,IF(ISNUMBER(V98),V98,"NR")))</f>
        <v>25630</v>
      </c>
      <c r="X98" s="40" t="s">
        <v>377</v>
      </c>
      <c r="Y98" s="40" t="s">
        <v>301</v>
      </c>
      <c r="Z98" s="40" t="s">
        <v>304</v>
      </c>
      <c r="AA98" s="40" t="s">
        <v>355</v>
      </c>
      <c r="AB98" s="40" t="s">
        <v>306</v>
      </c>
      <c r="AC98" s="40"/>
      <c r="AD98" s="44" t="s">
        <v>308</v>
      </c>
      <c r="AE98" s="44" t="s">
        <v>317</v>
      </c>
      <c r="AF98" s="44" t="s">
        <v>696</v>
      </c>
      <c r="AG98" s="44" t="s">
        <v>707</v>
      </c>
      <c r="AH98" s="51" t="s">
        <v>9</v>
      </c>
      <c r="AI98" s="46"/>
    </row>
    <row r="99" customFormat="false" ht="35.05" hidden="false" customHeight="false" outlineLevel="0" collapsed="false">
      <c r="A99" s="57" t="s">
        <v>708</v>
      </c>
      <c r="B99" s="58" t="s">
        <v>229</v>
      </c>
      <c r="C99" s="38" t="n">
        <f aca="false">IF(OR($R99="All",$R99="Not specified",ISNUMBER(SEARCH("K (",$R99))),$P99,1)</f>
        <v>0.787</v>
      </c>
      <c r="D99" s="38" t="n">
        <f aca="false">IF(OR($R99="All",$R99="Not specified",ISNUMBER(SEARCH("A (",$R99))),$P99,1)</f>
        <v>0.787</v>
      </c>
      <c r="E99" s="38" t="n">
        <f aca="false">IF(OR($R99="All",$R99="Not specified",ISNUMBER(SEARCH("B (",$R99))),$P99,1)</f>
        <v>0.787</v>
      </c>
      <c r="F99" s="38" t="n">
        <f aca="false">IF(OR($R99="All",$R99="Not specified",ISNUMBER(SEARCH("C (",$R99))),$P99,1)</f>
        <v>0.787</v>
      </c>
      <c r="G99" s="38" t="n">
        <f aca="false">IF(OR($R99="All",$R99="Not specified",ISNUMBER(SEARCH("O (",$R99))),$P99,1)</f>
        <v>0.787</v>
      </c>
      <c r="H99" s="39" t="n">
        <v>20</v>
      </c>
      <c r="I99" s="40"/>
      <c r="J99" s="40"/>
      <c r="K99" s="40"/>
      <c r="L99" s="40" t="s">
        <v>709</v>
      </c>
      <c r="M99" s="47" t="s">
        <v>329</v>
      </c>
      <c r="N99" s="39" t="n">
        <v>4</v>
      </c>
      <c r="O99" s="40" t="s">
        <v>67</v>
      </c>
      <c r="P99" s="42" t="n">
        <v>0.787</v>
      </c>
      <c r="Q99" s="43" t="n">
        <f aca="false">IF(ISNUMBER(P99),ROUND((1-P99)*100,1),"NR")</f>
        <v>21.3</v>
      </c>
      <c r="R99" s="40" t="s">
        <v>72</v>
      </c>
      <c r="S99" s="40" t="s">
        <v>694</v>
      </c>
      <c r="T99" s="40" t="s">
        <v>371</v>
      </c>
      <c r="U99" s="39" t="n">
        <v>4857</v>
      </c>
      <c r="V99" s="39" t="n">
        <v>74990</v>
      </c>
      <c r="W99" s="39" t="n">
        <f aca="false">IF(AND(ISNUMBER(U99),ISNUMBER(V99)),ROUND((U99+V99)/2,0),IF(ISNUMBER(U99),U99,IF(ISNUMBER(V99),V99,"NR")))</f>
        <v>39924</v>
      </c>
      <c r="X99" s="40" t="s">
        <v>377</v>
      </c>
      <c r="Y99" s="40" t="s">
        <v>301</v>
      </c>
      <c r="Z99" s="40" t="s">
        <v>304</v>
      </c>
      <c r="AA99" s="40" t="s">
        <v>355</v>
      </c>
      <c r="AB99" s="40" t="s">
        <v>306</v>
      </c>
      <c r="AC99" s="40"/>
      <c r="AD99" s="44" t="s">
        <v>308</v>
      </c>
      <c r="AE99" s="44" t="s">
        <v>317</v>
      </c>
      <c r="AF99" s="44" t="s">
        <v>696</v>
      </c>
      <c r="AG99" s="44" t="s">
        <v>697</v>
      </c>
      <c r="AH99" s="51" t="s">
        <v>9</v>
      </c>
      <c r="AI99" s="46"/>
    </row>
    <row r="100" customFormat="false" ht="46.25" hidden="false" customHeight="false" outlineLevel="0" collapsed="false">
      <c r="A100" s="57" t="s">
        <v>710</v>
      </c>
      <c r="B100" s="58" t="s">
        <v>229</v>
      </c>
      <c r="C100" s="38" t="n">
        <f aca="false">IF(OR($R100="All",$R100="Not specified",ISNUMBER(SEARCH("K (",$R100))),$P100,1)</f>
        <v>0.857</v>
      </c>
      <c r="D100" s="38" t="n">
        <f aca="false">IF(OR($R100="All",$R100="Not specified",ISNUMBER(SEARCH("A (",$R100))),$P100,1)</f>
        <v>0.857</v>
      </c>
      <c r="E100" s="38" t="n">
        <f aca="false">IF(OR($R100="All",$R100="Not specified",ISNUMBER(SEARCH("B (",$R100))),$P100,1)</f>
        <v>0.857</v>
      </c>
      <c r="F100" s="38" t="n">
        <f aca="false">IF(OR($R100="All",$R100="Not specified",ISNUMBER(SEARCH("C (",$R100))),$P100,1)</f>
        <v>0.857</v>
      </c>
      <c r="G100" s="38" t="n">
        <f aca="false">IF(OR($R100="All",$R100="Not specified",ISNUMBER(SEARCH("O (",$R100))),$P100,1)</f>
        <v>0.857</v>
      </c>
      <c r="H100" s="39" t="n">
        <v>20</v>
      </c>
      <c r="I100" s="40"/>
      <c r="J100" s="40"/>
      <c r="K100" s="40"/>
      <c r="L100" s="40" t="s">
        <v>711</v>
      </c>
      <c r="M100" s="47" t="s">
        <v>329</v>
      </c>
      <c r="N100" s="39" t="n">
        <v>4</v>
      </c>
      <c r="O100" s="40" t="s">
        <v>67</v>
      </c>
      <c r="P100" s="42" t="n">
        <v>0.857</v>
      </c>
      <c r="Q100" s="43" t="n">
        <f aca="false">IF(ISNUMBER(P100),ROUND((1-P100)*100,1),"NR")</f>
        <v>14.3</v>
      </c>
      <c r="R100" s="40" t="s">
        <v>72</v>
      </c>
      <c r="S100" s="40" t="s">
        <v>694</v>
      </c>
      <c r="T100" s="40" t="s">
        <v>72</v>
      </c>
      <c r="U100" s="39" t="n">
        <v>3250</v>
      </c>
      <c r="V100" s="39" t="n">
        <v>37500</v>
      </c>
      <c r="W100" s="39" t="n">
        <f aca="false">IF(AND(ISNUMBER(U100),ISNUMBER(V100)),ROUND((U100+V100)/2,0),IF(ISNUMBER(U100),U100,IF(ISNUMBER(V100),V100,"NR")))</f>
        <v>20375</v>
      </c>
      <c r="X100" s="40" t="s">
        <v>81</v>
      </c>
      <c r="Y100" s="40" t="s">
        <v>301</v>
      </c>
      <c r="Z100" s="40" t="s">
        <v>304</v>
      </c>
      <c r="AA100" s="40" t="s">
        <v>305</v>
      </c>
      <c r="AB100" s="40" t="s">
        <v>306</v>
      </c>
      <c r="AC100" s="40" t="s">
        <v>712</v>
      </c>
      <c r="AD100" s="44" t="s">
        <v>308</v>
      </c>
      <c r="AE100" s="44" t="s">
        <v>317</v>
      </c>
      <c r="AF100" s="44" t="s">
        <v>696</v>
      </c>
      <c r="AG100" s="44" t="s">
        <v>713</v>
      </c>
      <c r="AH100" s="51" t="s">
        <v>9</v>
      </c>
      <c r="AI100" s="46"/>
    </row>
    <row r="101" customFormat="false" ht="35.05" hidden="false" customHeight="false" outlineLevel="0" collapsed="false">
      <c r="A101" s="57" t="s">
        <v>714</v>
      </c>
      <c r="B101" s="58" t="s">
        <v>234</v>
      </c>
      <c r="C101" s="38" t="n">
        <f aca="false">IF(OR($R101="All",$R101="Not specified",ISNUMBER(SEARCH("K (",$R101))),$P101,1)</f>
        <v>1</v>
      </c>
      <c r="D101" s="38" t="n">
        <f aca="false">IF(OR($R101="All",$R101="Not specified",ISNUMBER(SEARCH("A (",$R101))),$P101,1)</f>
        <v>0.18</v>
      </c>
      <c r="E101" s="38" t="n">
        <f aca="false">IF(OR($R101="All",$R101="Not specified",ISNUMBER(SEARCH("B (",$R101))),$P101,1)</f>
        <v>0.18</v>
      </c>
      <c r="F101" s="38" t="n">
        <f aca="false">IF(OR($R101="All",$R101="Not specified",ISNUMBER(SEARCH("C (",$R101))),$P101,1)</f>
        <v>0.18</v>
      </c>
      <c r="G101" s="38" t="n">
        <f aca="false">IF(OR($R101="All",$R101="Not specified",ISNUMBER(SEARCH("O (",$R101))),$P101,1)</f>
        <v>1</v>
      </c>
      <c r="H101" s="39" t="n">
        <v>20</v>
      </c>
      <c r="I101" s="40"/>
      <c r="J101" s="40"/>
      <c r="K101" s="40"/>
      <c r="L101" s="40" t="s">
        <v>715</v>
      </c>
      <c r="M101" s="41" t="s">
        <v>298</v>
      </c>
      <c r="N101" s="39" t="n">
        <v>4</v>
      </c>
      <c r="O101" s="40" t="s">
        <v>73</v>
      </c>
      <c r="P101" s="42" t="n">
        <v>0.18</v>
      </c>
      <c r="Q101" s="43" t="n">
        <f aca="false">IF(ISNUMBER(P101),ROUND((1-P101)*100,1),"NR")</f>
        <v>82</v>
      </c>
      <c r="R101" s="40" t="s">
        <v>396</v>
      </c>
      <c r="S101" s="40" t="s">
        <v>72</v>
      </c>
      <c r="T101" s="40" t="s">
        <v>321</v>
      </c>
      <c r="U101" s="39" t="s">
        <v>301</v>
      </c>
      <c r="V101" s="39" t="s">
        <v>301</v>
      </c>
      <c r="W101" s="39" t="str">
        <f aca="false">IF(AND(ISNUMBER(U101),ISNUMBER(V101)),ROUND((U101+V101)/2,0),IF(ISNUMBER(U101),U101,IF(ISNUMBER(V101),V101,"NR")))</f>
        <v>NR</v>
      </c>
      <c r="X101" s="40" t="s">
        <v>377</v>
      </c>
      <c r="Y101" s="40" t="s">
        <v>301</v>
      </c>
      <c r="Z101" s="40" t="s">
        <v>304</v>
      </c>
      <c r="AA101" s="40" t="s">
        <v>355</v>
      </c>
      <c r="AB101" s="40" t="s">
        <v>306</v>
      </c>
      <c r="AC101" s="40"/>
      <c r="AD101" s="44" t="s">
        <v>308</v>
      </c>
      <c r="AE101" s="44" t="s">
        <v>309</v>
      </c>
      <c r="AF101" s="44" t="s">
        <v>310</v>
      </c>
      <c r="AG101" s="44" t="s">
        <v>318</v>
      </c>
      <c r="AH101" s="45" t="s">
        <v>11</v>
      </c>
      <c r="AI101" s="46" t="s">
        <v>12</v>
      </c>
    </row>
    <row r="102" customFormat="false" ht="35.05" hidden="false" customHeight="false" outlineLevel="0" collapsed="false">
      <c r="A102" s="57" t="s">
        <v>716</v>
      </c>
      <c r="B102" s="58" t="s">
        <v>234</v>
      </c>
      <c r="C102" s="38" t="n">
        <f aca="false">IF(OR($R102="All",$R102="Not specified",ISNUMBER(SEARCH("K (",$R102))),$P102,1)</f>
        <v>1</v>
      </c>
      <c r="D102" s="38" t="n">
        <f aca="false">IF(OR($R102="All",$R102="Not specified",ISNUMBER(SEARCH("A (",$R102))),$P102,1)</f>
        <v>0.22</v>
      </c>
      <c r="E102" s="38" t="n">
        <f aca="false">IF(OR($R102="All",$R102="Not specified",ISNUMBER(SEARCH("B (",$R102))),$P102,1)</f>
        <v>0.22</v>
      </c>
      <c r="F102" s="38" t="n">
        <f aca="false">IF(OR($R102="All",$R102="Not specified",ISNUMBER(SEARCH("C (",$R102))),$P102,1)</f>
        <v>0.22</v>
      </c>
      <c r="G102" s="38" t="n">
        <f aca="false">IF(OR($R102="All",$R102="Not specified",ISNUMBER(SEARCH("O (",$R102))),$P102,1)</f>
        <v>1</v>
      </c>
      <c r="H102" s="39" t="n">
        <v>20</v>
      </c>
      <c r="I102" s="40"/>
      <c r="J102" s="40"/>
      <c r="K102" s="40"/>
      <c r="L102" s="40" t="s">
        <v>717</v>
      </c>
      <c r="M102" s="41" t="s">
        <v>298</v>
      </c>
      <c r="N102" s="39" t="n">
        <v>3</v>
      </c>
      <c r="O102" s="40" t="s">
        <v>72</v>
      </c>
      <c r="P102" s="42" t="n">
        <v>0.22</v>
      </c>
      <c r="Q102" s="43" t="n">
        <f aca="false">IF(ISNUMBER(P102),ROUND((1-P102)*100,1),"NR")</f>
        <v>78</v>
      </c>
      <c r="R102" s="40" t="s">
        <v>396</v>
      </c>
      <c r="S102" s="40" t="s">
        <v>72</v>
      </c>
      <c r="T102" s="40" t="s">
        <v>371</v>
      </c>
      <c r="U102" s="39" t="s">
        <v>301</v>
      </c>
      <c r="V102" s="39" t="s">
        <v>301</v>
      </c>
      <c r="W102" s="39" t="str">
        <f aca="false">IF(AND(ISNUMBER(U102),ISNUMBER(V102)),ROUND((U102+V102)/2,0),IF(ISNUMBER(U102),U102,IF(ISNUMBER(V102),V102,"NR")))</f>
        <v>NR</v>
      </c>
      <c r="X102" s="40" t="s">
        <v>377</v>
      </c>
      <c r="Y102" s="40" t="s">
        <v>301</v>
      </c>
      <c r="Z102" s="40" t="s">
        <v>594</v>
      </c>
      <c r="AA102" s="40" t="s">
        <v>337</v>
      </c>
      <c r="AB102" s="40" t="s">
        <v>306</v>
      </c>
      <c r="AC102" s="40" t="s">
        <v>400</v>
      </c>
      <c r="AD102" s="44" t="s">
        <v>308</v>
      </c>
      <c r="AE102" s="44" t="s">
        <v>309</v>
      </c>
      <c r="AF102" s="44" t="s">
        <v>310</v>
      </c>
      <c r="AG102" s="44" t="s">
        <v>318</v>
      </c>
      <c r="AH102" s="45" t="s">
        <v>11</v>
      </c>
      <c r="AI102" s="46" t="s">
        <v>12</v>
      </c>
    </row>
    <row r="103" customFormat="false" ht="46.25" hidden="false" customHeight="false" outlineLevel="0" collapsed="false">
      <c r="A103" s="57" t="s">
        <v>716</v>
      </c>
      <c r="B103" s="58" t="s">
        <v>234</v>
      </c>
      <c r="C103" s="38" t="n">
        <f aca="false">IF(OR($R103="All",$R103="Not specified",ISNUMBER(SEARCH("K (",$R103))),$P103,1)</f>
        <v>0.259</v>
      </c>
      <c r="D103" s="38" t="n">
        <f aca="false">IF(OR($R103="All",$R103="Not specified",ISNUMBER(SEARCH("A (",$R103))),$P103,1)</f>
        <v>0.259</v>
      </c>
      <c r="E103" s="38" t="n">
        <f aca="false">IF(OR($R103="All",$R103="Not specified",ISNUMBER(SEARCH("B (",$R103))),$P103,1)</f>
        <v>0.259</v>
      </c>
      <c r="F103" s="38" t="n">
        <f aca="false">IF(OR($R103="All",$R103="Not specified",ISNUMBER(SEARCH("C (",$R103))),$P103,1)</f>
        <v>0.259</v>
      </c>
      <c r="G103" s="38" t="n">
        <f aca="false">IF(OR($R103="All",$R103="Not specified",ISNUMBER(SEARCH("O (",$R103))),$P103,1)</f>
        <v>1</v>
      </c>
      <c r="H103" s="39" t="n">
        <v>20</v>
      </c>
      <c r="I103" s="40"/>
      <c r="J103" s="40"/>
      <c r="K103" s="40"/>
      <c r="L103" s="40" t="s">
        <v>718</v>
      </c>
      <c r="M103" s="47" t="s">
        <v>329</v>
      </c>
      <c r="N103" s="39" t="n">
        <v>4</v>
      </c>
      <c r="O103" s="40" t="s">
        <v>672</v>
      </c>
      <c r="P103" s="42" t="n">
        <v>0.259</v>
      </c>
      <c r="Q103" s="43" t="n">
        <f aca="false">IF(ISNUMBER(P103),ROUND((1-P103)*100,1),"NR")</f>
        <v>74.1</v>
      </c>
      <c r="R103" s="40" t="s">
        <v>299</v>
      </c>
      <c r="S103" s="40" t="s">
        <v>72</v>
      </c>
      <c r="T103" s="40" t="s">
        <v>321</v>
      </c>
      <c r="U103" s="39" t="n">
        <v>5322</v>
      </c>
      <c r="V103" s="39" t="n">
        <v>43123</v>
      </c>
      <c r="W103" s="39" t="n">
        <f aca="false">IF(AND(ISNUMBER(U103),ISNUMBER(V103)),ROUND((U103+V103)/2,0),IF(ISNUMBER(U103),U103,IF(ISNUMBER(V103),V103,"NR")))</f>
        <v>24223</v>
      </c>
      <c r="X103" s="40" t="s">
        <v>377</v>
      </c>
      <c r="Y103" s="40" t="s">
        <v>301</v>
      </c>
      <c r="Z103" s="40" t="s">
        <v>304</v>
      </c>
      <c r="AA103" s="40" t="s">
        <v>609</v>
      </c>
      <c r="AB103" s="40" t="s">
        <v>306</v>
      </c>
      <c r="AC103" s="40" t="s">
        <v>719</v>
      </c>
      <c r="AD103" s="44" t="s">
        <v>308</v>
      </c>
      <c r="AE103" s="44" t="s">
        <v>309</v>
      </c>
      <c r="AF103" s="44" t="s">
        <v>310</v>
      </c>
      <c r="AG103" s="44" t="s">
        <v>720</v>
      </c>
      <c r="AH103" s="45" t="s">
        <v>11</v>
      </c>
      <c r="AI103" s="46" t="s">
        <v>12</v>
      </c>
    </row>
    <row r="104" customFormat="false" ht="35.05" hidden="false" customHeight="false" outlineLevel="0" collapsed="false">
      <c r="A104" s="57" t="s">
        <v>721</v>
      </c>
      <c r="B104" s="58" t="s">
        <v>234</v>
      </c>
      <c r="C104" s="38" t="n">
        <f aca="false">IF(OR($R104="All",$R104="Not specified",ISNUMBER(SEARCH("K (",$R104))),$P104,1)</f>
        <v>1</v>
      </c>
      <c r="D104" s="38" t="n">
        <f aca="false">IF(OR($R104="All",$R104="Not specified",ISNUMBER(SEARCH("A (",$R104))),$P104,1)</f>
        <v>1</v>
      </c>
      <c r="E104" s="38" t="n">
        <f aca="false">IF(OR($R104="All",$R104="Not specified",ISNUMBER(SEARCH("B (",$R104))),$P104,1)</f>
        <v>1</v>
      </c>
      <c r="F104" s="38" t="n">
        <f aca="false">IF(OR($R104="All",$R104="Not specified",ISNUMBER(SEARCH("C (",$R104))),$P104,1)</f>
        <v>1</v>
      </c>
      <c r="G104" s="38" t="n">
        <f aca="false">IF(OR($R104="All",$R104="Not specified",ISNUMBER(SEARCH("O (",$R104))),$P104,1)</f>
        <v>0.5977</v>
      </c>
      <c r="H104" s="39" t="n">
        <v>20</v>
      </c>
      <c r="I104" s="40"/>
      <c r="J104" s="40"/>
      <c r="K104" s="40"/>
      <c r="L104" s="40" t="s">
        <v>722</v>
      </c>
      <c r="M104" s="47" t="s">
        <v>329</v>
      </c>
      <c r="N104" s="39" t="n">
        <v>4</v>
      </c>
      <c r="O104" s="40" t="s">
        <v>370</v>
      </c>
      <c r="P104" s="42" t="n">
        <v>0.5977</v>
      </c>
      <c r="Q104" s="43" t="n">
        <f aca="false">IF(ISNUMBER(P104),ROUND((1-P104)*100,1),"NR")</f>
        <v>40.2</v>
      </c>
      <c r="R104" s="40" t="s">
        <v>349</v>
      </c>
      <c r="S104" s="40" t="s">
        <v>72</v>
      </c>
      <c r="T104" s="40" t="s">
        <v>321</v>
      </c>
      <c r="U104" s="39" t="n">
        <v>643</v>
      </c>
      <c r="V104" s="39" t="n">
        <v>15138</v>
      </c>
      <c r="W104" s="39" t="n">
        <f aca="false">IF(AND(ISNUMBER(U104),ISNUMBER(V104)),ROUND((U104+V104)/2,0),IF(ISNUMBER(U104),U104,IF(ISNUMBER(V104),V104,"NR")))</f>
        <v>7891</v>
      </c>
      <c r="X104" s="40" t="s">
        <v>377</v>
      </c>
      <c r="Y104" s="40" t="s">
        <v>723</v>
      </c>
      <c r="Z104" s="40" t="s">
        <v>304</v>
      </c>
      <c r="AA104" s="40" t="s">
        <v>724</v>
      </c>
      <c r="AB104" s="40" t="s">
        <v>306</v>
      </c>
      <c r="AC104" s="40" t="s">
        <v>725</v>
      </c>
      <c r="AD104" s="44" t="s">
        <v>308</v>
      </c>
      <c r="AE104" s="44" t="s">
        <v>350</v>
      </c>
      <c r="AF104" s="44" t="s">
        <v>310</v>
      </c>
      <c r="AG104" s="44" t="s">
        <v>726</v>
      </c>
      <c r="AH104" s="45" t="s">
        <v>11</v>
      </c>
      <c r="AI104" s="46" t="s">
        <v>12</v>
      </c>
    </row>
    <row r="105" customFormat="false" ht="23.85" hidden="false" customHeight="false" outlineLevel="0" collapsed="false">
      <c r="A105" s="57" t="s">
        <v>727</v>
      </c>
      <c r="B105" s="58" t="s">
        <v>234</v>
      </c>
      <c r="C105" s="38" t="n">
        <f aca="false">IF(OR($R105="All",$R105="Not specified",ISNUMBER(SEARCH("K (",$R105))),$P105,1)</f>
        <v>0.28</v>
      </c>
      <c r="D105" s="38" t="n">
        <f aca="false">IF(OR($R105="All",$R105="Not specified",ISNUMBER(SEARCH("A (",$R105))),$P105,1)</f>
        <v>1</v>
      </c>
      <c r="E105" s="38" t="n">
        <f aca="false">IF(OR($R105="All",$R105="Not specified",ISNUMBER(SEARCH("B (",$R105))),$P105,1)</f>
        <v>1</v>
      </c>
      <c r="F105" s="38" t="n">
        <f aca="false">IF(OR($R105="All",$R105="Not specified",ISNUMBER(SEARCH("C (",$R105))),$P105,1)</f>
        <v>1</v>
      </c>
      <c r="G105" s="38" t="n">
        <f aca="false">IF(OR($R105="All",$R105="Not specified",ISNUMBER(SEARCH("O (",$R105))),$P105,1)</f>
        <v>1</v>
      </c>
      <c r="H105" s="39" t="n">
        <v>20</v>
      </c>
      <c r="I105" s="40"/>
      <c r="J105" s="40"/>
      <c r="K105" s="40"/>
      <c r="L105" s="40" t="s">
        <v>728</v>
      </c>
      <c r="M105" s="47" t="s">
        <v>329</v>
      </c>
      <c r="N105" s="39" t="n">
        <v>5</v>
      </c>
      <c r="O105" s="40" t="s">
        <v>321</v>
      </c>
      <c r="P105" s="42" t="n">
        <v>0.28</v>
      </c>
      <c r="Q105" s="43" t="n">
        <f aca="false">IF(ISNUMBER(P105),ROUND((1-P105)*100,1),"NR")</f>
        <v>72</v>
      </c>
      <c r="R105" s="40" t="s">
        <v>729</v>
      </c>
      <c r="S105" s="40" t="s">
        <v>72</v>
      </c>
      <c r="T105" s="40" t="s">
        <v>321</v>
      </c>
      <c r="U105" s="39" t="s">
        <v>301</v>
      </c>
      <c r="V105" s="39" t="s">
        <v>301</v>
      </c>
      <c r="W105" s="39" t="str">
        <f aca="false">IF(AND(ISNUMBER(U105),ISNUMBER(V105)),ROUND((U105+V105)/2,0),IF(ISNUMBER(U105),U105,IF(ISNUMBER(V105),V105,"NR")))</f>
        <v>NR</v>
      </c>
      <c r="X105" s="40" t="s">
        <v>321</v>
      </c>
      <c r="Y105" s="40" t="s">
        <v>301</v>
      </c>
      <c r="Z105" s="40" t="s">
        <v>304</v>
      </c>
      <c r="AA105" s="40" t="s">
        <v>730</v>
      </c>
      <c r="AB105" s="40" t="s">
        <v>731</v>
      </c>
      <c r="AC105" s="40" t="s">
        <v>732</v>
      </c>
      <c r="AD105" s="44" t="s">
        <v>308</v>
      </c>
      <c r="AE105" s="44" t="s">
        <v>309</v>
      </c>
      <c r="AF105" s="44" t="s">
        <v>310</v>
      </c>
      <c r="AG105" s="44" t="s">
        <v>318</v>
      </c>
      <c r="AH105" s="45" t="s">
        <v>11</v>
      </c>
      <c r="AI105" s="46" t="s">
        <v>12</v>
      </c>
    </row>
    <row r="106" customFormat="false" ht="79.85" hidden="false" customHeight="false" outlineLevel="0" collapsed="false">
      <c r="A106" s="57" t="s">
        <v>733</v>
      </c>
      <c r="B106" s="58" t="s">
        <v>234</v>
      </c>
      <c r="C106" s="38" t="n">
        <f aca="false">IF(OR($R106="All",$R106="Not specified",ISNUMBER(SEARCH("K (",$R106))),$P106,1)</f>
        <v>0.21</v>
      </c>
      <c r="D106" s="38" t="n">
        <f aca="false">IF(OR($R106="All",$R106="Not specified",ISNUMBER(SEARCH("A (",$R106))),$P106,1)</f>
        <v>0.21</v>
      </c>
      <c r="E106" s="38" t="n">
        <f aca="false">IF(OR($R106="All",$R106="Not specified",ISNUMBER(SEARCH("B (",$R106))),$P106,1)</f>
        <v>0.21</v>
      </c>
      <c r="F106" s="38" t="n">
        <f aca="false">IF(OR($R106="All",$R106="Not specified",ISNUMBER(SEARCH("C (",$R106))),$P106,1)</f>
        <v>0.21</v>
      </c>
      <c r="G106" s="38" t="n">
        <f aca="false">IF(OR($R106="All",$R106="Not specified",ISNUMBER(SEARCH("O (",$R106))),$P106,1)</f>
        <v>1</v>
      </c>
      <c r="H106" s="39" t="n">
        <v>20</v>
      </c>
      <c r="I106" s="40"/>
      <c r="J106" s="40"/>
      <c r="K106" s="40"/>
      <c r="L106" s="40" t="s">
        <v>734</v>
      </c>
      <c r="M106" s="47" t="s">
        <v>329</v>
      </c>
      <c r="N106" s="39" t="n">
        <v>4</v>
      </c>
      <c r="O106" s="40" t="s">
        <v>72</v>
      </c>
      <c r="P106" s="42" t="n">
        <v>0.21</v>
      </c>
      <c r="Q106" s="43" t="n">
        <f aca="false">IF(ISNUMBER(P106),ROUND((1-P106)*100,1),"NR")</f>
        <v>79</v>
      </c>
      <c r="R106" s="40" t="s">
        <v>299</v>
      </c>
      <c r="S106" s="40" t="s">
        <v>72</v>
      </c>
      <c r="T106" s="40" t="s">
        <v>72</v>
      </c>
      <c r="U106" s="39" t="n">
        <v>2000</v>
      </c>
      <c r="V106" s="39" t="n">
        <v>12500</v>
      </c>
      <c r="W106" s="39" t="n">
        <f aca="false">IF(AND(ISNUMBER(U106),ISNUMBER(V106)),ROUND((U106+V106)/2,0),IF(ISNUMBER(U106),U106,IF(ISNUMBER(V106),V106,"NR")))</f>
        <v>7250</v>
      </c>
      <c r="X106" s="40" t="s">
        <v>377</v>
      </c>
      <c r="Y106" s="40" t="s">
        <v>735</v>
      </c>
      <c r="Z106" s="40" t="s">
        <v>304</v>
      </c>
      <c r="AA106" s="40" t="s">
        <v>531</v>
      </c>
      <c r="AB106" s="40" t="s">
        <v>306</v>
      </c>
      <c r="AC106" s="40" t="s">
        <v>736</v>
      </c>
      <c r="AD106" s="44" t="s">
        <v>308</v>
      </c>
      <c r="AE106" s="44" t="s">
        <v>309</v>
      </c>
      <c r="AF106" s="44" t="s">
        <v>310</v>
      </c>
      <c r="AG106" s="44" t="s">
        <v>737</v>
      </c>
      <c r="AH106" s="45" t="s">
        <v>11</v>
      </c>
      <c r="AI106" s="46" t="s">
        <v>12</v>
      </c>
    </row>
    <row r="107" customFormat="false" ht="35.05" hidden="false" customHeight="false" outlineLevel="0" collapsed="false">
      <c r="A107" s="57" t="s">
        <v>738</v>
      </c>
      <c r="B107" s="58" t="s">
        <v>234</v>
      </c>
      <c r="C107" s="38" t="n">
        <f aca="false">IF(OR($R107="All",$R107="Not specified",ISNUMBER(SEARCH("K (",$R107))),$P107,1)</f>
        <v>1</v>
      </c>
      <c r="D107" s="38" t="n">
        <f aca="false">IF(OR($R107="All",$R107="Not specified",ISNUMBER(SEARCH("A (",$R107))),$P107,1)</f>
        <v>0.26</v>
      </c>
      <c r="E107" s="38" t="n">
        <f aca="false">IF(OR($R107="All",$R107="Not specified",ISNUMBER(SEARCH("B (",$R107))),$P107,1)</f>
        <v>0.26</v>
      </c>
      <c r="F107" s="38" t="n">
        <f aca="false">IF(OR($R107="All",$R107="Not specified",ISNUMBER(SEARCH("C (",$R107))),$P107,1)</f>
        <v>0.26</v>
      </c>
      <c r="G107" s="38" t="n">
        <f aca="false">IF(OR($R107="All",$R107="Not specified",ISNUMBER(SEARCH("O (",$R107))),$P107,1)</f>
        <v>1</v>
      </c>
      <c r="H107" s="39" t="n">
        <v>20</v>
      </c>
      <c r="I107" s="40"/>
      <c r="J107" s="40"/>
      <c r="K107" s="40"/>
      <c r="L107" s="40" t="s">
        <v>739</v>
      </c>
      <c r="M107" s="47" t="s">
        <v>329</v>
      </c>
      <c r="N107" s="39" t="n">
        <v>4</v>
      </c>
      <c r="O107" s="40" t="s">
        <v>67</v>
      </c>
      <c r="P107" s="42" t="n">
        <v>0.26</v>
      </c>
      <c r="Q107" s="43" t="n">
        <f aca="false">IF(ISNUMBER(P107),ROUND((1-P107)*100,1),"NR")</f>
        <v>74</v>
      </c>
      <c r="R107" s="40" t="s">
        <v>396</v>
      </c>
      <c r="S107" s="40" t="s">
        <v>72</v>
      </c>
      <c r="T107" s="40" t="s">
        <v>321</v>
      </c>
      <c r="U107" s="39" t="s">
        <v>301</v>
      </c>
      <c r="V107" s="39" t="s">
        <v>301</v>
      </c>
      <c r="W107" s="39" t="str">
        <f aca="false">IF(AND(ISNUMBER(U107),ISNUMBER(V107)),ROUND((U107+V107)/2,0),IF(ISNUMBER(U107),U107,IF(ISNUMBER(V107),V107,"NR")))</f>
        <v>NR</v>
      </c>
      <c r="X107" s="40" t="s">
        <v>377</v>
      </c>
      <c r="Y107" s="40" t="s">
        <v>301</v>
      </c>
      <c r="Z107" s="40" t="s">
        <v>304</v>
      </c>
      <c r="AA107" s="40" t="s">
        <v>355</v>
      </c>
      <c r="AB107" s="40" t="s">
        <v>306</v>
      </c>
      <c r="AC107" s="40"/>
      <c r="AD107" s="44" t="s">
        <v>308</v>
      </c>
      <c r="AE107" s="44" t="s">
        <v>309</v>
      </c>
      <c r="AF107" s="44" t="s">
        <v>310</v>
      </c>
      <c r="AG107" s="44" t="s">
        <v>318</v>
      </c>
      <c r="AH107" s="45" t="s">
        <v>11</v>
      </c>
      <c r="AI107" s="46" t="s">
        <v>12</v>
      </c>
    </row>
    <row r="108" customFormat="false" ht="35.05" hidden="false" customHeight="false" outlineLevel="0" collapsed="false">
      <c r="A108" s="57" t="s">
        <v>714</v>
      </c>
      <c r="B108" s="58" t="s">
        <v>234</v>
      </c>
      <c r="C108" s="38" t="n">
        <f aca="false">IF(OR($R108="All",$R108="Not specified",ISNUMBER(SEARCH("K (",$R108))),$P108,1)</f>
        <v>0.28</v>
      </c>
      <c r="D108" s="38" t="n">
        <f aca="false">IF(OR($R108="All",$R108="Not specified",ISNUMBER(SEARCH("A (",$R108))),$P108,1)</f>
        <v>0.28</v>
      </c>
      <c r="E108" s="38" t="n">
        <f aca="false">IF(OR($R108="All",$R108="Not specified",ISNUMBER(SEARCH("B (",$R108))),$P108,1)</f>
        <v>0.28</v>
      </c>
      <c r="F108" s="38" t="n">
        <f aca="false">IF(OR($R108="All",$R108="Not specified",ISNUMBER(SEARCH("C (",$R108))),$P108,1)</f>
        <v>0.28</v>
      </c>
      <c r="G108" s="38" t="n">
        <f aca="false">IF(OR($R108="All",$R108="Not specified",ISNUMBER(SEARCH("O (",$R108))),$P108,1)</f>
        <v>0.28</v>
      </c>
      <c r="H108" s="39" t="n">
        <v>20</v>
      </c>
      <c r="I108" s="40"/>
      <c r="J108" s="40"/>
      <c r="K108" s="40"/>
      <c r="L108" s="40" t="s">
        <v>740</v>
      </c>
      <c r="M108" s="47" t="s">
        <v>329</v>
      </c>
      <c r="N108" s="39" t="n">
        <v>4</v>
      </c>
      <c r="O108" s="40" t="s">
        <v>67</v>
      </c>
      <c r="P108" s="42" t="n">
        <v>0.28</v>
      </c>
      <c r="Q108" s="43" t="n">
        <f aca="false">IF(ISNUMBER(P108),ROUND((1-P108)*100,1),"NR")</f>
        <v>72</v>
      </c>
      <c r="R108" s="40" t="s">
        <v>72</v>
      </c>
      <c r="S108" s="40" t="s">
        <v>72</v>
      </c>
      <c r="T108" s="40" t="s">
        <v>321</v>
      </c>
      <c r="U108" s="39" t="s">
        <v>301</v>
      </c>
      <c r="V108" s="39" t="s">
        <v>301</v>
      </c>
      <c r="W108" s="39" t="str">
        <f aca="false">IF(AND(ISNUMBER(U108),ISNUMBER(V108)),ROUND((U108+V108)/2,0),IF(ISNUMBER(U108),U108,IF(ISNUMBER(V108),V108,"NR")))</f>
        <v>NR</v>
      </c>
      <c r="X108" s="40" t="s">
        <v>377</v>
      </c>
      <c r="Y108" s="40" t="s">
        <v>301</v>
      </c>
      <c r="Z108" s="40" t="s">
        <v>304</v>
      </c>
      <c r="AA108" s="40" t="s">
        <v>355</v>
      </c>
      <c r="AB108" s="40" t="s">
        <v>306</v>
      </c>
      <c r="AC108" s="40"/>
      <c r="AD108" s="44" t="s">
        <v>308</v>
      </c>
      <c r="AE108" s="44" t="s">
        <v>317</v>
      </c>
      <c r="AF108" s="44" t="s">
        <v>310</v>
      </c>
      <c r="AG108" s="44" t="s">
        <v>318</v>
      </c>
      <c r="AH108" s="45" t="s">
        <v>11</v>
      </c>
      <c r="AI108" s="46" t="s">
        <v>12</v>
      </c>
    </row>
    <row r="109" customFormat="false" ht="23.85" hidden="false" customHeight="false" outlineLevel="0" collapsed="false">
      <c r="A109" s="57" t="s">
        <v>741</v>
      </c>
      <c r="B109" s="58" t="s">
        <v>237</v>
      </c>
      <c r="C109" s="38" t="n">
        <f aca="false">IF(OR($R109="All",$R109="Not specified",ISNUMBER(SEARCH("K (",$R109))),$P109,1)</f>
        <v>0.25</v>
      </c>
      <c r="D109" s="38" t="n">
        <f aca="false">IF(OR($R109="All",$R109="Not specified",ISNUMBER(SEARCH("A (",$R109))),$P109,1)</f>
        <v>0.25</v>
      </c>
      <c r="E109" s="38" t="n">
        <f aca="false">IF(OR($R109="All",$R109="Not specified",ISNUMBER(SEARCH("B (",$R109))),$P109,1)</f>
        <v>0.25</v>
      </c>
      <c r="F109" s="38" t="n">
        <f aca="false">IF(OR($R109="All",$R109="Not specified",ISNUMBER(SEARCH("C (",$R109))),$P109,1)</f>
        <v>0.25</v>
      </c>
      <c r="G109" s="38" t="n">
        <f aca="false">IF(OR($R109="All",$R109="Not specified",ISNUMBER(SEARCH("O (",$R109))),$P109,1)</f>
        <v>0.25</v>
      </c>
      <c r="H109" s="39" t="n">
        <v>20</v>
      </c>
      <c r="I109" s="40"/>
      <c r="J109" s="40"/>
      <c r="K109" s="40"/>
      <c r="L109" s="40" t="s">
        <v>742</v>
      </c>
      <c r="M109" s="47" t="s">
        <v>329</v>
      </c>
      <c r="N109" s="39" t="n">
        <v>4</v>
      </c>
      <c r="O109" s="40" t="s">
        <v>67</v>
      </c>
      <c r="P109" s="42" t="n">
        <v>0.25</v>
      </c>
      <c r="Q109" s="43" t="n">
        <f aca="false">IF(ISNUMBER(P109),ROUND((1-P109)*100,1),"NR")</f>
        <v>75</v>
      </c>
      <c r="R109" s="40" t="s">
        <v>72</v>
      </c>
      <c r="S109" s="40" t="s">
        <v>238</v>
      </c>
      <c r="T109" s="40" t="s">
        <v>371</v>
      </c>
      <c r="U109" s="39" t="s">
        <v>301</v>
      </c>
      <c r="V109" s="39" t="s">
        <v>301</v>
      </c>
      <c r="W109" s="39" t="str">
        <f aca="false">IF(AND(ISNUMBER(U109),ISNUMBER(V109)),ROUND((U109+V109)/2,0),IF(ISNUMBER(U109),U109,IF(ISNUMBER(V109),V109,"NR")))</f>
        <v>NR</v>
      </c>
      <c r="X109" s="40" t="s">
        <v>377</v>
      </c>
      <c r="Y109" s="40" t="s">
        <v>301</v>
      </c>
      <c r="Z109" s="40" t="s">
        <v>594</v>
      </c>
      <c r="AA109" s="40" t="s">
        <v>305</v>
      </c>
      <c r="AB109" s="40" t="s">
        <v>391</v>
      </c>
      <c r="AC109" s="40" t="s">
        <v>400</v>
      </c>
      <c r="AD109" s="44" t="s">
        <v>308</v>
      </c>
      <c r="AE109" s="44" t="s">
        <v>317</v>
      </c>
      <c r="AF109" s="44" t="s">
        <v>664</v>
      </c>
      <c r="AG109" s="44" t="s">
        <v>318</v>
      </c>
      <c r="AH109" s="51" t="s">
        <v>9</v>
      </c>
      <c r="AI109" s="46"/>
    </row>
    <row r="110" customFormat="false" ht="35.05" hidden="false" customHeight="false" outlineLevel="0" collapsed="false">
      <c r="A110" s="57" t="s">
        <v>743</v>
      </c>
      <c r="B110" s="58" t="s">
        <v>242</v>
      </c>
      <c r="C110" s="38" t="n">
        <f aca="false">IF(OR($R110="All",$R110="Not specified",ISNUMBER(SEARCH("K (",$R110))),$P110,1)</f>
        <v>0.519</v>
      </c>
      <c r="D110" s="38" t="n">
        <f aca="false">IF(OR($R110="All",$R110="Not specified",ISNUMBER(SEARCH("A (",$R110))),$P110,1)</f>
        <v>0.519</v>
      </c>
      <c r="E110" s="38" t="n">
        <f aca="false">IF(OR($R110="All",$R110="Not specified",ISNUMBER(SEARCH("B (",$R110))),$P110,1)</f>
        <v>0.519</v>
      </c>
      <c r="F110" s="38" t="n">
        <f aca="false">IF(OR($R110="All",$R110="Not specified",ISNUMBER(SEARCH("C (",$R110))),$P110,1)</f>
        <v>0.519</v>
      </c>
      <c r="G110" s="38" t="n">
        <f aca="false">IF(OR($R110="All",$R110="Not specified",ISNUMBER(SEARCH("O (",$R110))),$P110,1)</f>
        <v>0.519</v>
      </c>
      <c r="H110" s="39" t="n">
        <v>20</v>
      </c>
      <c r="I110" s="40"/>
      <c r="J110" s="40"/>
      <c r="K110" s="40"/>
      <c r="L110" s="40" t="s">
        <v>744</v>
      </c>
      <c r="M110" s="47" t="s">
        <v>329</v>
      </c>
      <c r="N110" s="39" t="n">
        <v>5</v>
      </c>
      <c r="O110" s="40" t="s">
        <v>73</v>
      </c>
      <c r="P110" s="42" t="n">
        <v>0.519</v>
      </c>
      <c r="Q110" s="43" t="n">
        <f aca="false">IF(ISNUMBER(P110),ROUND((1-P110)*100,1),"NR")</f>
        <v>48.1</v>
      </c>
      <c r="R110" s="40" t="s">
        <v>72</v>
      </c>
      <c r="S110" s="40" t="s">
        <v>72</v>
      </c>
      <c r="T110" s="40" t="s">
        <v>321</v>
      </c>
      <c r="U110" s="39" t="s">
        <v>301</v>
      </c>
      <c r="V110" s="39" t="s">
        <v>301</v>
      </c>
      <c r="W110" s="39" t="str">
        <f aca="false">IF(AND(ISNUMBER(U110),ISNUMBER(V110)),ROUND((U110+V110)/2,0),IF(ISNUMBER(U110),U110,IF(ISNUMBER(V110),V110,"NR")))</f>
        <v>NR</v>
      </c>
      <c r="X110" s="40" t="s">
        <v>377</v>
      </c>
      <c r="Y110" s="40" t="s">
        <v>301</v>
      </c>
      <c r="Z110" s="40" t="s">
        <v>304</v>
      </c>
      <c r="AA110" s="40" t="s">
        <v>405</v>
      </c>
      <c r="AB110" s="40" t="s">
        <v>306</v>
      </c>
      <c r="AC110" s="40" t="s">
        <v>745</v>
      </c>
      <c r="AD110" s="44" t="s">
        <v>308</v>
      </c>
      <c r="AE110" s="44" t="s">
        <v>317</v>
      </c>
      <c r="AF110" s="44" t="s">
        <v>310</v>
      </c>
      <c r="AG110" s="44" t="s">
        <v>318</v>
      </c>
      <c r="AH110" s="45" t="s">
        <v>11</v>
      </c>
      <c r="AI110" s="46" t="s">
        <v>12</v>
      </c>
    </row>
    <row r="111" customFormat="false" ht="35.05" hidden="false" customHeight="false" outlineLevel="0" collapsed="false">
      <c r="A111" s="57" t="s">
        <v>746</v>
      </c>
      <c r="B111" s="58" t="s">
        <v>242</v>
      </c>
      <c r="C111" s="38" t="n">
        <f aca="false">IF(OR($R111="All",$R111="Not specified",ISNUMBER(SEARCH("K (",$R111))),$P111,1)</f>
        <v>1</v>
      </c>
      <c r="D111" s="38" t="n">
        <f aca="false">IF(OR($R111="All",$R111="Not specified",ISNUMBER(SEARCH("A (",$R111))),$P111,1)</f>
        <v>0.69</v>
      </c>
      <c r="E111" s="38" t="n">
        <f aca="false">IF(OR($R111="All",$R111="Not specified",ISNUMBER(SEARCH("B (",$R111))),$P111,1)</f>
        <v>0.69</v>
      </c>
      <c r="F111" s="38" t="n">
        <f aca="false">IF(OR($R111="All",$R111="Not specified",ISNUMBER(SEARCH("C (",$R111))),$P111,1)</f>
        <v>0.69</v>
      </c>
      <c r="G111" s="38" t="n">
        <f aca="false">IF(OR($R111="All",$R111="Not specified",ISNUMBER(SEARCH("O (",$R111))),$P111,1)</f>
        <v>1</v>
      </c>
      <c r="H111" s="39" t="n">
        <v>20</v>
      </c>
      <c r="I111" s="40"/>
      <c r="J111" s="40"/>
      <c r="K111" s="40"/>
      <c r="L111" s="40" t="s">
        <v>747</v>
      </c>
      <c r="M111" s="47" t="s">
        <v>329</v>
      </c>
      <c r="N111" s="39" t="n">
        <v>5</v>
      </c>
      <c r="O111" s="40" t="s">
        <v>73</v>
      </c>
      <c r="P111" s="42" t="n">
        <v>0.69</v>
      </c>
      <c r="Q111" s="43" t="n">
        <f aca="false">IF(ISNUMBER(P111),ROUND((1-P111)*100,1),"NR")</f>
        <v>31</v>
      </c>
      <c r="R111" s="40" t="s">
        <v>396</v>
      </c>
      <c r="S111" s="40" t="s">
        <v>72</v>
      </c>
      <c r="T111" s="40" t="s">
        <v>321</v>
      </c>
      <c r="U111" s="39" t="s">
        <v>301</v>
      </c>
      <c r="V111" s="39" t="s">
        <v>301</v>
      </c>
      <c r="W111" s="39" t="str">
        <f aca="false">IF(AND(ISNUMBER(U111),ISNUMBER(V111)),ROUND((U111+V111)/2,0),IF(ISNUMBER(U111),U111,IF(ISNUMBER(V111),V111,"NR")))</f>
        <v>NR</v>
      </c>
      <c r="X111" s="40" t="s">
        <v>377</v>
      </c>
      <c r="Y111" s="40" t="s">
        <v>301</v>
      </c>
      <c r="Z111" s="40" t="s">
        <v>304</v>
      </c>
      <c r="AA111" s="40" t="s">
        <v>724</v>
      </c>
      <c r="AB111" s="40" t="s">
        <v>306</v>
      </c>
      <c r="AC111" s="40"/>
      <c r="AD111" s="44" t="s">
        <v>308</v>
      </c>
      <c r="AE111" s="44" t="s">
        <v>309</v>
      </c>
      <c r="AF111" s="44" t="s">
        <v>310</v>
      </c>
      <c r="AG111" s="44" t="s">
        <v>318</v>
      </c>
      <c r="AH111" s="45" t="s">
        <v>11</v>
      </c>
      <c r="AI111" s="46" t="s">
        <v>12</v>
      </c>
    </row>
    <row r="112" customFormat="false" ht="35.05" hidden="false" customHeight="false" outlineLevel="0" collapsed="false">
      <c r="A112" s="57" t="s">
        <v>748</v>
      </c>
      <c r="B112" s="58" t="s">
        <v>242</v>
      </c>
      <c r="C112" s="38" t="n">
        <f aca="false">IF(OR($R112="All",$R112="Not specified",ISNUMBER(SEARCH("K (",$R112))),$P112,1)</f>
        <v>0.704</v>
      </c>
      <c r="D112" s="38" t="n">
        <f aca="false">IF(OR($R112="All",$R112="Not specified",ISNUMBER(SEARCH("A (",$R112))),$P112,1)</f>
        <v>0.704</v>
      </c>
      <c r="E112" s="38" t="n">
        <f aca="false">IF(OR($R112="All",$R112="Not specified",ISNUMBER(SEARCH("B (",$R112))),$P112,1)</f>
        <v>0.704</v>
      </c>
      <c r="F112" s="38" t="n">
        <f aca="false">IF(OR($R112="All",$R112="Not specified",ISNUMBER(SEARCH("C (",$R112))),$P112,1)</f>
        <v>0.704</v>
      </c>
      <c r="G112" s="38" t="n">
        <f aca="false">IF(OR($R112="All",$R112="Not specified",ISNUMBER(SEARCH("O (",$R112))),$P112,1)</f>
        <v>0.704</v>
      </c>
      <c r="H112" s="39" t="n">
        <v>20</v>
      </c>
      <c r="I112" s="40"/>
      <c r="J112" s="40"/>
      <c r="K112" s="40"/>
      <c r="L112" s="40" t="s">
        <v>749</v>
      </c>
      <c r="M112" s="47" t="s">
        <v>329</v>
      </c>
      <c r="N112" s="39" t="n">
        <v>5</v>
      </c>
      <c r="O112" s="40" t="s">
        <v>73</v>
      </c>
      <c r="P112" s="42" t="n">
        <v>0.704</v>
      </c>
      <c r="Q112" s="43" t="n">
        <f aca="false">IF(ISNUMBER(P112),ROUND((1-P112)*100,1),"NR")</f>
        <v>29.6</v>
      </c>
      <c r="R112" s="40" t="s">
        <v>72</v>
      </c>
      <c r="S112" s="40" t="s">
        <v>72</v>
      </c>
      <c r="T112" s="40" t="s">
        <v>321</v>
      </c>
      <c r="U112" s="39" t="s">
        <v>301</v>
      </c>
      <c r="V112" s="39" t="s">
        <v>301</v>
      </c>
      <c r="W112" s="39" t="str">
        <f aca="false">IF(AND(ISNUMBER(U112),ISNUMBER(V112)),ROUND((U112+V112)/2,0),IF(ISNUMBER(U112),U112,IF(ISNUMBER(V112),V112,"NR")))</f>
        <v>NR</v>
      </c>
      <c r="X112" s="40" t="s">
        <v>377</v>
      </c>
      <c r="Y112" s="40" t="s">
        <v>301</v>
      </c>
      <c r="Z112" s="40" t="s">
        <v>304</v>
      </c>
      <c r="AA112" s="40" t="s">
        <v>405</v>
      </c>
      <c r="AB112" s="40" t="s">
        <v>306</v>
      </c>
      <c r="AC112" s="40" t="s">
        <v>745</v>
      </c>
      <c r="AD112" s="44" t="s">
        <v>308</v>
      </c>
      <c r="AE112" s="44" t="s">
        <v>317</v>
      </c>
      <c r="AF112" s="44" t="s">
        <v>310</v>
      </c>
      <c r="AG112" s="44" t="s">
        <v>318</v>
      </c>
      <c r="AH112" s="45" t="s">
        <v>11</v>
      </c>
      <c r="AI112" s="46" t="s">
        <v>12</v>
      </c>
    </row>
    <row r="113" customFormat="false" ht="35.05" hidden="false" customHeight="false" outlineLevel="0" collapsed="false">
      <c r="A113" s="57" t="s">
        <v>750</v>
      </c>
      <c r="B113" s="58" t="s">
        <v>242</v>
      </c>
      <c r="C113" s="38" t="n">
        <f aca="false">IF(OR($R113="All",$R113="Not specified",ISNUMBER(SEARCH("K (",$R113))),$P113,1)</f>
        <v>1</v>
      </c>
      <c r="D113" s="38" t="n">
        <f aca="false">IF(OR($R113="All",$R113="Not specified",ISNUMBER(SEARCH("A (",$R113))),$P113,1)</f>
        <v>0.8</v>
      </c>
      <c r="E113" s="38" t="n">
        <f aca="false">IF(OR($R113="All",$R113="Not specified",ISNUMBER(SEARCH("B (",$R113))),$P113,1)</f>
        <v>0.8</v>
      </c>
      <c r="F113" s="38" t="n">
        <f aca="false">IF(OR($R113="All",$R113="Not specified",ISNUMBER(SEARCH("C (",$R113))),$P113,1)</f>
        <v>0.8</v>
      </c>
      <c r="G113" s="38" t="n">
        <f aca="false">IF(OR($R113="All",$R113="Not specified",ISNUMBER(SEARCH("O (",$R113))),$P113,1)</f>
        <v>1</v>
      </c>
      <c r="H113" s="39" t="n">
        <v>20</v>
      </c>
      <c r="I113" s="40"/>
      <c r="J113" s="40"/>
      <c r="K113" s="40"/>
      <c r="L113" s="40" t="s">
        <v>751</v>
      </c>
      <c r="M113" s="47" t="s">
        <v>329</v>
      </c>
      <c r="N113" s="39" t="n">
        <v>5</v>
      </c>
      <c r="O113" s="40" t="s">
        <v>73</v>
      </c>
      <c r="P113" s="42" t="n">
        <v>0.8</v>
      </c>
      <c r="Q113" s="43" t="n">
        <f aca="false">IF(ISNUMBER(P113),ROUND((1-P113)*100,1),"NR")</f>
        <v>20</v>
      </c>
      <c r="R113" s="40" t="s">
        <v>396</v>
      </c>
      <c r="S113" s="40" t="s">
        <v>72</v>
      </c>
      <c r="T113" s="40" t="s">
        <v>321</v>
      </c>
      <c r="U113" s="39" t="s">
        <v>301</v>
      </c>
      <c r="V113" s="39" t="s">
        <v>301</v>
      </c>
      <c r="W113" s="39" t="str">
        <f aca="false">IF(AND(ISNUMBER(U113),ISNUMBER(V113)),ROUND((U113+V113)/2,0),IF(ISNUMBER(U113),U113,IF(ISNUMBER(V113),V113,"NR")))</f>
        <v>NR</v>
      </c>
      <c r="X113" s="40" t="s">
        <v>377</v>
      </c>
      <c r="Y113" s="40" t="s">
        <v>301</v>
      </c>
      <c r="Z113" s="40" t="s">
        <v>304</v>
      </c>
      <c r="AA113" s="40" t="s">
        <v>405</v>
      </c>
      <c r="AB113" s="40" t="s">
        <v>306</v>
      </c>
      <c r="AC113" s="40"/>
      <c r="AD113" s="44" t="s">
        <v>308</v>
      </c>
      <c r="AE113" s="44" t="s">
        <v>309</v>
      </c>
      <c r="AF113" s="44" t="s">
        <v>310</v>
      </c>
      <c r="AG113" s="44" t="s">
        <v>318</v>
      </c>
      <c r="AH113" s="45" t="s">
        <v>11</v>
      </c>
      <c r="AI113" s="46" t="s">
        <v>12</v>
      </c>
    </row>
    <row r="114" customFormat="false" ht="46.25" hidden="false" customHeight="false" outlineLevel="0" collapsed="false">
      <c r="A114" s="57" t="s">
        <v>752</v>
      </c>
      <c r="B114" s="58" t="s">
        <v>242</v>
      </c>
      <c r="C114" s="38" t="n">
        <f aca="false">IF(OR($R114="All",$R114="Not specified",ISNUMBER(SEARCH("K (",$R114))),$P114,1)</f>
        <v>0.6</v>
      </c>
      <c r="D114" s="38" t="n">
        <f aca="false">IF(OR($R114="All",$R114="Not specified",ISNUMBER(SEARCH("A (",$R114))),$P114,1)</f>
        <v>0.6</v>
      </c>
      <c r="E114" s="38" t="n">
        <f aca="false">IF(OR($R114="All",$R114="Not specified",ISNUMBER(SEARCH("B (",$R114))),$P114,1)</f>
        <v>0.6</v>
      </c>
      <c r="F114" s="38" t="n">
        <f aca="false">IF(OR($R114="All",$R114="Not specified",ISNUMBER(SEARCH("C (",$R114))),$P114,1)</f>
        <v>0.6</v>
      </c>
      <c r="G114" s="38" t="n">
        <f aca="false">IF(OR($R114="All",$R114="Not specified",ISNUMBER(SEARCH("O (",$R114))),$P114,1)</f>
        <v>1</v>
      </c>
      <c r="H114" s="39" t="n">
        <v>20</v>
      </c>
      <c r="I114" s="40"/>
      <c r="J114" s="40"/>
      <c r="K114" s="40"/>
      <c r="L114" s="40" t="s">
        <v>753</v>
      </c>
      <c r="M114" s="47" t="s">
        <v>329</v>
      </c>
      <c r="N114" s="39" t="n">
        <v>4</v>
      </c>
      <c r="O114" s="40" t="s">
        <v>73</v>
      </c>
      <c r="P114" s="42" t="n">
        <v>0.6</v>
      </c>
      <c r="Q114" s="43" t="n">
        <f aca="false">IF(ISNUMBER(P114),ROUND((1-P114)*100,1),"NR")</f>
        <v>40</v>
      </c>
      <c r="R114" s="40" t="s">
        <v>299</v>
      </c>
      <c r="S114" s="40" t="s">
        <v>72</v>
      </c>
      <c r="T114" s="40" t="s">
        <v>321</v>
      </c>
      <c r="U114" s="39" t="s">
        <v>301</v>
      </c>
      <c r="V114" s="39" t="s">
        <v>301</v>
      </c>
      <c r="W114" s="39" t="str">
        <f aca="false">IF(AND(ISNUMBER(U114),ISNUMBER(V114)),ROUND((U114+V114)/2,0),IF(ISNUMBER(U114),U114,IF(ISNUMBER(V114),V114,"NR")))</f>
        <v>NR</v>
      </c>
      <c r="X114" s="40" t="s">
        <v>377</v>
      </c>
      <c r="Y114" s="40" t="s">
        <v>301</v>
      </c>
      <c r="Z114" s="40" t="s">
        <v>304</v>
      </c>
      <c r="AA114" s="40" t="s">
        <v>724</v>
      </c>
      <c r="AB114" s="40" t="s">
        <v>306</v>
      </c>
      <c r="AC114" s="40" t="s">
        <v>745</v>
      </c>
      <c r="AD114" s="44" t="s">
        <v>308</v>
      </c>
      <c r="AE114" s="44" t="s">
        <v>309</v>
      </c>
      <c r="AF114" s="44" t="s">
        <v>310</v>
      </c>
      <c r="AG114" s="44" t="s">
        <v>318</v>
      </c>
      <c r="AH114" s="45" t="s">
        <v>11</v>
      </c>
      <c r="AI114" s="46" t="s">
        <v>12</v>
      </c>
    </row>
    <row r="115" customFormat="false" ht="35.05" hidden="false" customHeight="false" outlineLevel="0" collapsed="false">
      <c r="A115" s="57" t="s">
        <v>754</v>
      </c>
      <c r="B115" s="58" t="s">
        <v>242</v>
      </c>
      <c r="C115" s="38" t="n">
        <f aca="false">IF(OR($R115="All",$R115="Not specified",ISNUMBER(SEARCH("K (",$R115))),$P115,1)</f>
        <v>0.69</v>
      </c>
      <c r="D115" s="38" t="n">
        <f aca="false">IF(OR($R115="All",$R115="Not specified",ISNUMBER(SEARCH("A (",$R115))),$P115,1)</f>
        <v>0.69</v>
      </c>
      <c r="E115" s="38" t="n">
        <f aca="false">IF(OR($R115="All",$R115="Not specified",ISNUMBER(SEARCH("B (",$R115))),$P115,1)</f>
        <v>0.69</v>
      </c>
      <c r="F115" s="38" t="n">
        <f aca="false">IF(OR($R115="All",$R115="Not specified",ISNUMBER(SEARCH("C (",$R115))),$P115,1)</f>
        <v>0.69</v>
      </c>
      <c r="G115" s="38" t="n">
        <f aca="false">IF(OR($R115="All",$R115="Not specified",ISNUMBER(SEARCH("O (",$R115))),$P115,1)</f>
        <v>0.69</v>
      </c>
      <c r="H115" s="39" t="n">
        <v>20</v>
      </c>
      <c r="I115" s="40"/>
      <c r="J115" s="40"/>
      <c r="K115" s="40"/>
      <c r="L115" s="40" t="s">
        <v>755</v>
      </c>
      <c r="M115" s="47" t="s">
        <v>329</v>
      </c>
      <c r="N115" s="39" t="n">
        <v>4</v>
      </c>
      <c r="O115" s="40" t="s">
        <v>73</v>
      </c>
      <c r="P115" s="42" t="n">
        <v>0.69</v>
      </c>
      <c r="Q115" s="43" t="n">
        <f aca="false">IF(ISNUMBER(P115),ROUND((1-P115)*100,1),"NR")</f>
        <v>31</v>
      </c>
      <c r="R115" s="40" t="s">
        <v>72</v>
      </c>
      <c r="S115" s="40" t="s">
        <v>72</v>
      </c>
      <c r="T115" s="40" t="s">
        <v>321</v>
      </c>
      <c r="U115" s="39" t="s">
        <v>301</v>
      </c>
      <c r="V115" s="39" t="s">
        <v>301</v>
      </c>
      <c r="W115" s="39" t="str">
        <f aca="false">IF(AND(ISNUMBER(U115),ISNUMBER(V115)),ROUND((U115+V115)/2,0),IF(ISNUMBER(U115),U115,IF(ISNUMBER(V115),V115,"NR")))</f>
        <v>NR</v>
      </c>
      <c r="X115" s="40" t="s">
        <v>377</v>
      </c>
      <c r="Y115" s="40" t="s">
        <v>301</v>
      </c>
      <c r="Z115" s="40" t="s">
        <v>304</v>
      </c>
      <c r="AA115" s="40" t="s">
        <v>405</v>
      </c>
      <c r="AB115" s="40" t="s">
        <v>306</v>
      </c>
      <c r="AC115" s="40" t="s">
        <v>756</v>
      </c>
      <c r="AD115" s="44" t="s">
        <v>308</v>
      </c>
      <c r="AE115" s="44" t="s">
        <v>317</v>
      </c>
      <c r="AF115" s="44" t="s">
        <v>310</v>
      </c>
      <c r="AG115" s="44" t="s">
        <v>318</v>
      </c>
      <c r="AH115" s="45" t="s">
        <v>11</v>
      </c>
      <c r="AI115" s="46" t="s">
        <v>12</v>
      </c>
    </row>
    <row r="116" customFormat="false" ht="46.25" hidden="false" customHeight="false" outlineLevel="0" collapsed="false">
      <c r="A116" s="57" t="s">
        <v>757</v>
      </c>
      <c r="B116" s="58" t="s">
        <v>244</v>
      </c>
      <c r="C116" s="38" t="n">
        <f aca="false">IF(OR($R116="All",$R116="Not specified",ISNUMBER(SEARCH("K (",$R116))),$P116,1)</f>
        <v>0.899</v>
      </c>
      <c r="D116" s="38" t="n">
        <f aca="false">IF(OR($R116="All",$R116="Not specified",ISNUMBER(SEARCH("A (",$R116))),$P116,1)</f>
        <v>0.899</v>
      </c>
      <c r="E116" s="38" t="n">
        <f aca="false">IF(OR($R116="All",$R116="Not specified",ISNUMBER(SEARCH("B (",$R116))),$P116,1)</f>
        <v>0.899</v>
      </c>
      <c r="F116" s="38" t="n">
        <f aca="false">IF(OR($R116="All",$R116="Not specified",ISNUMBER(SEARCH("C (",$R116))),$P116,1)</f>
        <v>0.899</v>
      </c>
      <c r="G116" s="38" t="n">
        <f aca="false">IF(OR($R116="All",$R116="Not specified",ISNUMBER(SEARCH("O (",$R116))),$P116,1)</f>
        <v>1</v>
      </c>
      <c r="H116" s="39" t="n">
        <v>20</v>
      </c>
      <c r="I116" s="40"/>
      <c r="J116" s="40"/>
      <c r="K116" s="40"/>
      <c r="L116" s="40" t="s">
        <v>758</v>
      </c>
      <c r="M116" s="41" t="s">
        <v>298</v>
      </c>
      <c r="N116" s="39" t="n">
        <v>4</v>
      </c>
      <c r="O116" s="40" t="s">
        <v>72</v>
      </c>
      <c r="P116" s="42" t="n">
        <v>0.899</v>
      </c>
      <c r="Q116" s="43" t="n">
        <f aca="false">IF(ISNUMBER(P116),ROUND((1-P116)*100,1),"NR")</f>
        <v>10.1</v>
      </c>
      <c r="R116" s="40" t="s">
        <v>299</v>
      </c>
      <c r="S116" s="40" t="s">
        <v>72</v>
      </c>
      <c r="T116" s="40" t="s">
        <v>72</v>
      </c>
      <c r="U116" s="39" t="n">
        <v>641</v>
      </c>
      <c r="V116" s="39" t="n">
        <v>41731</v>
      </c>
      <c r="W116" s="39" t="n">
        <f aca="false">IF(AND(ISNUMBER(U116),ISNUMBER(V116)),ROUND((U116+V116)/2,0),IF(ISNUMBER(U116),U116,IF(ISNUMBER(V116),V116,"NR")))</f>
        <v>21186</v>
      </c>
      <c r="X116" s="40" t="s">
        <v>759</v>
      </c>
      <c r="Y116" s="40" t="s">
        <v>301</v>
      </c>
      <c r="Z116" s="40" t="s">
        <v>304</v>
      </c>
      <c r="AA116" s="40" t="s">
        <v>331</v>
      </c>
      <c r="AB116" s="40" t="s">
        <v>306</v>
      </c>
      <c r="AC116" s="40"/>
      <c r="AD116" s="44" t="s">
        <v>308</v>
      </c>
      <c r="AE116" s="44" t="s">
        <v>309</v>
      </c>
      <c r="AF116" s="44" t="s">
        <v>310</v>
      </c>
      <c r="AG116" s="44" t="s">
        <v>760</v>
      </c>
      <c r="AH116" s="51" t="s">
        <v>9</v>
      </c>
      <c r="AI116" s="46"/>
    </row>
    <row r="117" customFormat="false" ht="91" hidden="false" customHeight="false" outlineLevel="0" collapsed="false">
      <c r="A117" s="57" t="s">
        <v>761</v>
      </c>
      <c r="B117" s="58" t="s">
        <v>244</v>
      </c>
      <c r="C117" s="38" t="n">
        <f aca="false">IF(OR($R117="All",$R117="Not specified",ISNUMBER(SEARCH("K (",$R117))),$P117,1)</f>
        <v>0.585</v>
      </c>
      <c r="D117" s="38" t="n">
        <f aca="false">IF(OR($R117="All",$R117="Not specified",ISNUMBER(SEARCH("A (",$R117))),$P117,1)</f>
        <v>0.585</v>
      </c>
      <c r="E117" s="38" t="n">
        <f aca="false">IF(OR($R117="All",$R117="Not specified",ISNUMBER(SEARCH("B (",$R117))),$P117,1)</f>
        <v>0.585</v>
      </c>
      <c r="F117" s="38" t="n">
        <f aca="false">IF(OR($R117="All",$R117="Not specified",ISNUMBER(SEARCH("C (",$R117))),$P117,1)</f>
        <v>0.585</v>
      </c>
      <c r="G117" s="38" t="n">
        <f aca="false">IF(OR($R117="All",$R117="Not specified",ISNUMBER(SEARCH("O (",$R117))),$P117,1)</f>
        <v>0.585</v>
      </c>
      <c r="H117" s="39" t="n">
        <v>20</v>
      </c>
      <c r="I117" s="40"/>
      <c r="J117" s="40"/>
      <c r="K117" s="40"/>
      <c r="L117" s="40" t="s">
        <v>762</v>
      </c>
      <c r="M117" s="47" t="s">
        <v>329</v>
      </c>
      <c r="N117" s="39" t="n">
        <v>4</v>
      </c>
      <c r="O117" s="40" t="s">
        <v>321</v>
      </c>
      <c r="P117" s="42" t="n">
        <v>0.585</v>
      </c>
      <c r="Q117" s="43" t="n">
        <f aca="false">IF(ISNUMBER(P117),ROUND((1-P117)*100,1),"NR")</f>
        <v>41.5</v>
      </c>
      <c r="R117" s="40" t="s">
        <v>72</v>
      </c>
      <c r="S117" s="40" t="s">
        <v>238</v>
      </c>
      <c r="T117" s="40" t="s">
        <v>321</v>
      </c>
      <c r="U117" s="39" t="s">
        <v>301</v>
      </c>
      <c r="V117" s="39" t="s">
        <v>301</v>
      </c>
      <c r="W117" s="39" t="str">
        <f aca="false">IF(AND(ISNUMBER(U117),ISNUMBER(V117)),ROUND((U117+V117)/2,0),IF(ISNUMBER(U117),U117,IF(ISNUMBER(V117),V117,"NR")))</f>
        <v>NR</v>
      </c>
      <c r="X117" s="40" t="s">
        <v>377</v>
      </c>
      <c r="Y117" s="40" t="s">
        <v>301</v>
      </c>
      <c r="Z117" s="40" t="s">
        <v>304</v>
      </c>
      <c r="AA117" s="40" t="s">
        <v>405</v>
      </c>
      <c r="AB117" s="40" t="s">
        <v>306</v>
      </c>
      <c r="AC117" s="40" t="s">
        <v>763</v>
      </c>
      <c r="AD117" s="44" t="s">
        <v>308</v>
      </c>
      <c r="AE117" s="44" t="s">
        <v>317</v>
      </c>
      <c r="AF117" s="44" t="s">
        <v>664</v>
      </c>
      <c r="AG117" s="44" t="s">
        <v>318</v>
      </c>
      <c r="AH117" s="48" t="s">
        <v>13</v>
      </c>
      <c r="AI117" s="46" t="s">
        <v>764</v>
      </c>
    </row>
    <row r="118" customFormat="false" ht="46.25" hidden="false" customHeight="false" outlineLevel="0" collapsed="false">
      <c r="A118" s="57" t="s">
        <v>765</v>
      </c>
      <c r="B118" s="58" t="s">
        <v>244</v>
      </c>
      <c r="C118" s="38" t="n">
        <f aca="false">IF(OR($R118="All",$R118="Not specified",ISNUMBER(SEARCH("K (",$R118))),$P118,1)</f>
        <v>0.42</v>
      </c>
      <c r="D118" s="38" t="n">
        <f aca="false">IF(OR($R118="All",$R118="Not specified",ISNUMBER(SEARCH("A (",$R118))),$P118,1)</f>
        <v>0.42</v>
      </c>
      <c r="E118" s="38" t="n">
        <f aca="false">IF(OR($R118="All",$R118="Not specified",ISNUMBER(SEARCH("B (",$R118))),$P118,1)</f>
        <v>0.42</v>
      </c>
      <c r="F118" s="38" t="n">
        <f aca="false">IF(OR($R118="All",$R118="Not specified",ISNUMBER(SEARCH("C (",$R118))),$P118,1)</f>
        <v>0.42</v>
      </c>
      <c r="G118" s="38" t="n">
        <f aca="false">IF(OR($R118="All",$R118="Not specified",ISNUMBER(SEARCH("O (",$R118))),$P118,1)</f>
        <v>0.42</v>
      </c>
      <c r="H118" s="39" t="n">
        <v>20</v>
      </c>
      <c r="I118" s="40"/>
      <c r="J118" s="40"/>
      <c r="K118" s="40"/>
      <c r="L118" s="40" t="s">
        <v>766</v>
      </c>
      <c r="M118" s="47" t="s">
        <v>329</v>
      </c>
      <c r="N118" s="39" t="n">
        <v>4</v>
      </c>
      <c r="O118" s="40" t="s">
        <v>72</v>
      </c>
      <c r="P118" s="42" t="n">
        <v>0.42</v>
      </c>
      <c r="Q118" s="43" t="n">
        <f aca="false">IF(ISNUMBER(P118),ROUND((1-P118)*100,1),"NR")</f>
        <v>58</v>
      </c>
      <c r="R118" s="40" t="s">
        <v>72</v>
      </c>
      <c r="S118" s="40" t="s">
        <v>238</v>
      </c>
      <c r="T118" s="40" t="s">
        <v>371</v>
      </c>
      <c r="U118" s="39" t="n">
        <v>250</v>
      </c>
      <c r="V118" s="39" t="n">
        <v>42520</v>
      </c>
      <c r="W118" s="39" t="n">
        <f aca="false">IF(AND(ISNUMBER(U118),ISNUMBER(V118)),ROUND((U118+V118)/2,0),IF(ISNUMBER(U118),U118,IF(ISNUMBER(V118),V118,"NR")))</f>
        <v>21385</v>
      </c>
      <c r="X118" s="40" t="s">
        <v>377</v>
      </c>
      <c r="Y118" s="40" t="s">
        <v>301</v>
      </c>
      <c r="Z118" s="40" t="s">
        <v>398</v>
      </c>
      <c r="AA118" s="40" t="s">
        <v>767</v>
      </c>
      <c r="AB118" s="40" t="s">
        <v>306</v>
      </c>
      <c r="AC118" s="40" t="s">
        <v>768</v>
      </c>
      <c r="AD118" s="44" t="s">
        <v>308</v>
      </c>
      <c r="AE118" s="44" t="s">
        <v>317</v>
      </c>
      <c r="AF118" s="44" t="s">
        <v>664</v>
      </c>
      <c r="AG118" s="44" t="s">
        <v>769</v>
      </c>
      <c r="AH118" s="48" t="s">
        <v>13</v>
      </c>
      <c r="AI118" s="46" t="s">
        <v>764</v>
      </c>
    </row>
    <row r="119" customFormat="false" ht="91" hidden="false" customHeight="false" outlineLevel="0" collapsed="false">
      <c r="A119" s="57" t="s">
        <v>770</v>
      </c>
      <c r="B119" s="58" t="s">
        <v>244</v>
      </c>
      <c r="C119" s="38" t="n">
        <f aca="false">IF(OR($R119="All",$R119="Not specified",ISNUMBER(SEARCH("K (",$R119))),$P119,1)</f>
        <v>0.509</v>
      </c>
      <c r="D119" s="38" t="n">
        <f aca="false">IF(OR($R119="All",$R119="Not specified",ISNUMBER(SEARCH("A (",$R119))),$P119,1)</f>
        <v>0.509</v>
      </c>
      <c r="E119" s="38" t="n">
        <f aca="false">IF(OR($R119="All",$R119="Not specified",ISNUMBER(SEARCH("B (",$R119))),$P119,1)</f>
        <v>0.509</v>
      </c>
      <c r="F119" s="38" t="n">
        <f aca="false">IF(OR($R119="All",$R119="Not specified",ISNUMBER(SEARCH("C (",$R119))),$P119,1)</f>
        <v>0.509</v>
      </c>
      <c r="G119" s="38" t="n">
        <f aca="false">IF(OR($R119="All",$R119="Not specified",ISNUMBER(SEARCH("O (",$R119))),$P119,1)</f>
        <v>0.509</v>
      </c>
      <c r="H119" s="39" t="n">
        <v>20</v>
      </c>
      <c r="I119" s="40"/>
      <c r="J119" s="40"/>
      <c r="K119" s="40"/>
      <c r="L119" s="40" t="s">
        <v>771</v>
      </c>
      <c r="M119" s="47" t="s">
        <v>329</v>
      </c>
      <c r="N119" s="39" t="n">
        <v>4</v>
      </c>
      <c r="O119" s="40" t="s">
        <v>72</v>
      </c>
      <c r="P119" s="42" t="n">
        <v>0.509</v>
      </c>
      <c r="Q119" s="43" t="n">
        <f aca="false">IF(ISNUMBER(P119),ROUND((1-P119)*100,1),"NR")</f>
        <v>49.1</v>
      </c>
      <c r="R119" s="40" t="s">
        <v>72</v>
      </c>
      <c r="S119" s="40" t="s">
        <v>238</v>
      </c>
      <c r="T119" s="40" t="s">
        <v>72</v>
      </c>
      <c r="U119" s="39" t="n">
        <v>4272</v>
      </c>
      <c r="V119" s="39" t="n">
        <v>41100</v>
      </c>
      <c r="W119" s="39" t="n">
        <f aca="false">IF(AND(ISNUMBER(U119),ISNUMBER(V119)),ROUND((U119+V119)/2,0),IF(ISNUMBER(U119),U119,IF(ISNUMBER(V119),V119,"NR")))</f>
        <v>22686</v>
      </c>
      <c r="X119" s="40" t="s">
        <v>81</v>
      </c>
      <c r="Y119" s="40" t="s">
        <v>301</v>
      </c>
      <c r="Z119" s="40" t="s">
        <v>304</v>
      </c>
      <c r="AA119" s="40" t="s">
        <v>331</v>
      </c>
      <c r="AB119" s="40" t="s">
        <v>306</v>
      </c>
      <c r="AC119" s="40" t="s">
        <v>772</v>
      </c>
      <c r="AD119" s="44" t="s">
        <v>308</v>
      </c>
      <c r="AE119" s="44" t="s">
        <v>317</v>
      </c>
      <c r="AF119" s="44" t="s">
        <v>664</v>
      </c>
      <c r="AG119" s="44" t="s">
        <v>773</v>
      </c>
      <c r="AH119" s="56" t="s">
        <v>15</v>
      </c>
      <c r="AI119" s="46" t="s">
        <v>774</v>
      </c>
    </row>
    <row r="120" customFormat="false" ht="79.85" hidden="false" customHeight="false" outlineLevel="0" collapsed="false">
      <c r="A120" s="57" t="s">
        <v>757</v>
      </c>
      <c r="B120" s="58" t="s">
        <v>244</v>
      </c>
      <c r="C120" s="38" t="n">
        <f aca="false">IF(OR($R120="All",$R120="Not specified",ISNUMBER(SEARCH("K (",$R120))),$P120,1)</f>
        <v>0.718</v>
      </c>
      <c r="D120" s="38" t="n">
        <f aca="false">IF(OR($R120="All",$R120="Not specified",ISNUMBER(SEARCH("A (",$R120))),$P120,1)</f>
        <v>0.718</v>
      </c>
      <c r="E120" s="38" t="n">
        <f aca="false">IF(OR($R120="All",$R120="Not specified",ISNUMBER(SEARCH("B (",$R120))),$P120,1)</f>
        <v>0.718</v>
      </c>
      <c r="F120" s="38" t="n">
        <f aca="false">IF(OR($R120="All",$R120="Not specified",ISNUMBER(SEARCH("C (",$R120))),$P120,1)</f>
        <v>0.718</v>
      </c>
      <c r="G120" s="38" t="n">
        <f aca="false">IF(OR($R120="All",$R120="Not specified",ISNUMBER(SEARCH("O (",$R120))),$P120,1)</f>
        <v>0.718</v>
      </c>
      <c r="H120" s="39" t="n">
        <v>20</v>
      </c>
      <c r="I120" s="40"/>
      <c r="J120" s="40"/>
      <c r="K120" s="40"/>
      <c r="L120" s="40" t="s">
        <v>775</v>
      </c>
      <c r="M120" s="47" t="s">
        <v>329</v>
      </c>
      <c r="N120" s="39" t="n">
        <v>4</v>
      </c>
      <c r="O120" s="40" t="s">
        <v>73</v>
      </c>
      <c r="P120" s="42" t="n">
        <v>0.718</v>
      </c>
      <c r="Q120" s="43" t="n">
        <f aca="false">IF(ISNUMBER(P120),ROUND((1-P120)*100,1),"NR")</f>
        <v>28.2</v>
      </c>
      <c r="R120" s="40" t="s">
        <v>72</v>
      </c>
      <c r="S120" s="40" t="s">
        <v>476</v>
      </c>
      <c r="T120" s="40" t="s">
        <v>72</v>
      </c>
      <c r="U120" s="39" t="n">
        <v>641</v>
      </c>
      <c r="V120" s="39" t="n">
        <v>41731</v>
      </c>
      <c r="W120" s="39" t="n">
        <f aca="false">IF(AND(ISNUMBER(U120),ISNUMBER(V120)),ROUND((U120+V120)/2,0),IF(ISNUMBER(U120),U120,IF(ISNUMBER(V120),V120,"NR")))</f>
        <v>21186</v>
      </c>
      <c r="X120" s="40" t="s">
        <v>759</v>
      </c>
      <c r="Y120" s="40" t="s">
        <v>301</v>
      </c>
      <c r="Z120" s="40" t="s">
        <v>304</v>
      </c>
      <c r="AA120" s="40" t="s">
        <v>331</v>
      </c>
      <c r="AB120" s="40" t="s">
        <v>306</v>
      </c>
      <c r="AC120" s="40" t="s">
        <v>736</v>
      </c>
      <c r="AD120" s="44" t="s">
        <v>308</v>
      </c>
      <c r="AE120" s="44" t="s">
        <v>317</v>
      </c>
      <c r="AF120" s="44" t="s">
        <v>478</v>
      </c>
      <c r="AG120" s="44" t="s">
        <v>760</v>
      </c>
      <c r="AH120" s="48" t="s">
        <v>13</v>
      </c>
      <c r="AI120" s="46" t="s">
        <v>463</v>
      </c>
    </row>
    <row r="121" customFormat="false" ht="23.85" hidden="false" customHeight="false" outlineLevel="0" collapsed="false">
      <c r="A121" s="57" t="s">
        <v>776</v>
      </c>
      <c r="B121" s="58" t="s">
        <v>249</v>
      </c>
      <c r="C121" s="38" t="n">
        <f aca="false">IF(OR($R121="All",$R121="Not specified",ISNUMBER(SEARCH("K (",$R121))),$P121,1)</f>
        <v>0.92</v>
      </c>
      <c r="D121" s="38" t="n">
        <f aca="false">IF(OR($R121="All",$R121="Not specified",ISNUMBER(SEARCH("A (",$R121))),$P121,1)</f>
        <v>0.92</v>
      </c>
      <c r="E121" s="38" t="n">
        <f aca="false">IF(OR($R121="All",$R121="Not specified",ISNUMBER(SEARCH("B (",$R121))),$P121,1)</f>
        <v>0.92</v>
      </c>
      <c r="F121" s="38" t="n">
        <f aca="false">IF(OR($R121="All",$R121="Not specified",ISNUMBER(SEARCH("C (",$R121))),$P121,1)</f>
        <v>0.92</v>
      </c>
      <c r="G121" s="38" t="n">
        <f aca="false">IF(OR($R121="All",$R121="Not specified",ISNUMBER(SEARCH("O (",$R121))),$P121,1)</f>
        <v>0.92</v>
      </c>
      <c r="H121" s="39" t="n">
        <v>20</v>
      </c>
      <c r="I121" s="40"/>
      <c r="J121" s="40"/>
      <c r="K121" s="40"/>
      <c r="L121" s="40" t="s">
        <v>777</v>
      </c>
      <c r="M121" s="41" t="s">
        <v>298</v>
      </c>
      <c r="N121" s="39" t="n">
        <v>2</v>
      </c>
      <c r="O121" s="40" t="s">
        <v>371</v>
      </c>
      <c r="P121" s="42" t="n">
        <v>0.92</v>
      </c>
      <c r="Q121" s="43" t="n">
        <f aca="false">IF(ISNUMBER(P121),ROUND((1-P121)*100,1),"NR")</f>
        <v>8</v>
      </c>
      <c r="R121" s="40" t="s">
        <v>72</v>
      </c>
      <c r="S121" s="40" t="s">
        <v>72</v>
      </c>
      <c r="T121" s="40" t="s">
        <v>371</v>
      </c>
      <c r="U121" s="39" t="s">
        <v>301</v>
      </c>
      <c r="V121" s="39" t="s">
        <v>301</v>
      </c>
      <c r="W121" s="39" t="str">
        <f aca="false">IF(AND(ISNUMBER(U121),ISNUMBER(V121)),ROUND((U121+V121)/2,0),IF(ISNUMBER(U121),U121,IF(ISNUMBER(V121),V121,"NR")))</f>
        <v>NR</v>
      </c>
      <c r="X121" s="40" t="s">
        <v>377</v>
      </c>
      <c r="Y121" s="40" t="s">
        <v>301</v>
      </c>
      <c r="Z121" s="40" t="s">
        <v>778</v>
      </c>
      <c r="AA121" s="40" t="s">
        <v>355</v>
      </c>
      <c r="AB121" s="40" t="s">
        <v>391</v>
      </c>
      <c r="AC121" s="40" t="s">
        <v>779</v>
      </c>
      <c r="AD121" s="44" t="s">
        <v>308</v>
      </c>
      <c r="AE121" s="44" t="s">
        <v>317</v>
      </c>
      <c r="AF121" s="44" t="s">
        <v>310</v>
      </c>
      <c r="AG121" s="44" t="s">
        <v>318</v>
      </c>
      <c r="AH121" s="45" t="s">
        <v>11</v>
      </c>
      <c r="AI121" s="46" t="s">
        <v>12</v>
      </c>
    </row>
    <row r="122" customFormat="false" ht="35.05" hidden="false" customHeight="false" outlineLevel="0" collapsed="false">
      <c r="A122" s="57" t="s">
        <v>780</v>
      </c>
      <c r="B122" s="58" t="s">
        <v>249</v>
      </c>
      <c r="C122" s="38" t="n">
        <f aca="false">IF(OR($R122="All",$R122="Not specified",ISNUMBER(SEARCH("K (",$R122))),$P122,1)</f>
        <v>0.798</v>
      </c>
      <c r="D122" s="38" t="n">
        <f aca="false">IF(OR($R122="All",$R122="Not specified",ISNUMBER(SEARCH("A (",$R122))),$P122,1)</f>
        <v>0.798</v>
      </c>
      <c r="E122" s="38" t="n">
        <f aca="false">IF(OR($R122="All",$R122="Not specified",ISNUMBER(SEARCH("B (",$R122))),$P122,1)</f>
        <v>0.798</v>
      </c>
      <c r="F122" s="38" t="n">
        <f aca="false">IF(OR($R122="All",$R122="Not specified",ISNUMBER(SEARCH("C (",$R122))),$P122,1)</f>
        <v>0.798</v>
      </c>
      <c r="G122" s="38" t="n">
        <f aca="false">IF(OR($R122="All",$R122="Not specified",ISNUMBER(SEARCH("O (",$R122))),$P122,1)</f>
        <v>0.798</v>
      </c>
      <c r="H122" s="39" t="n">
        <v>20</v>
      </c>
      <c r="I122" s="40"/>
      <c r="J122" s="40"/>
      <c r="K122" s="40"/>
      <c r="L122" s="40" t="s">
        <v>781</v>
      </c>
      <c r="M122" s="47" t="s">
        <v>329</v>
      </c>
      <c r="N122" s="39" t="n">
        <v>4</v>
      </c>
      <c r="O122" s="40" t="s">
        <v>67</v>
      </c>
      <c r="P122" s="42" t="n">
        <v>0.798</v>
      </c>
      <c r="Q122" s="43" t="n">
        <f aca="false">IF(ISNUMBER(P122),ROUND((1-P122)*100,1),"NR")</f>
        <v>20.2</v>
      </c>
      <c r="R122" s="40" t="s">
        <v>72</v>
      </c>
      <c r="S122" s="40" t="s">
        <v>72</v>
      </c>
      <c r="T122" s="40" t="s">
        <v>371</v>
      </c>
      <c r="U122" s="39" t="n">
        <v>5950</v>
      </c>
      <c r="V122" s="39" t="n">
        <v>31600</v>
      </c>
      <c r="W122" s="39" t="n">
        <f aca="false">IF(AND(ISNUMBER(U122),ISNUMBER(V122)),ROUND((U122+V122)/2,0),IF(ISNUMBER(U122),U122,IF(ISNUMBER(V122),V122,"NR")))</f>
        <v>18775</v>
      </c>
      <c r="X122" s="40" t="s">
        <v>377</v>
      </c>
      <c r="Y122" s="40" t="s">
        <v>301</v>
      </c>
      <c r="Z122" s="40" t="s">
        <v>304</v>
      </c>
      <c r="AA122" s="40" t="s">
        <v>480</v>
      </c>
      <c r="AB122" s="40" t="s">
        <v>306</v>
      </c>
      <c r="AC122" s="40" t="s">
        <v>782</v>
      </c>
      <c r="AD122" s="44" t="s">
        <v>308</v>
      </c>
      <c r="AE122" s="44" t="s">
        <v>317</v>
      </c>
      <c r="AF122" s="44" t="s">
        <v>310</v>
      </c>
      <c r="AG122" s="44" t="s">
        <v>783</v>
      </c>
      <c r="AH122" s="45" t="s">
        <v>11</v>
      </c>
      <c r="AI122" s="46" t="s">
        <v>12</v>
      </c>
    </row>
    <row r="123" customFormat="false" ht="35.05" hidden="false" customHeight="false" outlineLevel="0" collapsed="false">
      <c r="A123" s="59" t="s">
        <v>394</v>
      </c>
      <c r="B123" s="60" t="s">
        <v>255</v>
      </c>
      <c r="C123" s="38" t="n">
        <f aca="false">IF(OR($R123="All",$R123="Not specified",ISNUMBER(SEARCH("K (",$R123))),$P123,1)</f>
        <v>1</v>
      </c>
      <c r="D123" s="38" t="n">
        <f aca="false">IF(OR($R123="All",$R123="Not specified",ISNUMBER(SEARCH("A (",$R123))),$P123,1)</f>
        <v>0.58</v>
      </c>
      <c r="E123" s="38" t="n">
        <f aca="false">IF(OR($R123="All",$R123="Not specified",ISNUMBER(SEARCH("B (",$R123))),$P123,1)</f>
        <v>0.58</v>
      </c>
      <c r="F123" s="38" t="n">
        <f aca="false">IF(OR($R123="All",$R123="Not specified",ISNUMBER(SEARCH("C (",$R123))),$P123,1)</f>
        <v>0.58</v>
      </c>
      <c r="G123" s="38" t="n">
        <f aca="false">IF(OR($R123="All",$R123="Not specified",ISNUMBER(SEARCH("O (",$R123))),$P123,1)</f>
        <v>1</v>
      </c>
      <c r="H123" s="39" t="n">
        <v>20</v>
      </c>
      <c r="I123" s="40"/>
      <c r="J123" s="40"/>
      <c r="K123" s="40"/>
      <c r="L123" s="40" t="s">
        <v>395</v>
      </c>
      <c r="M123" s="41" t="s">
        <v>298</v>
      </c>
      <c r="N123" s="39" t="n">
        <v>3</v>
      </c>
      <c r="O123" s="40" t="s">
        <v>371</v>
      </c>
      <c r="P123" s="42" t="n">
        <v>0.58</v>
      </c>
      <c r="Q123" s="43" t="n">
        <f aca="false">IF(ISNUMBER(P123),ROUND((1-P123)*100,1),"NR")</f>
        <v>42</v>
      </c>
      <c r="R123" s="40" t="s">
        <v>396</v>
      </c>
      <c r="S123" s="40" t="s">
        <v>397</v>
      </c>
      <c r="T123" s="40" t="s">
        <v>371</v>
      </c>
      <c r="U123" s="39" t="s">
        <v>301</v>
      </c>
      <c r="V123" s="39" t="s">
        <v>301</v>
      </c>
      <c r="W123" s="39" t="str">
        <f aca="false">IF(AND(ISNUMBER(U123),ISNUMBER(V123)),ROUND((U123+V123)/2,0),IF(ISNUMBER(U123),U123,IF(ISNUMBER(V123),V123,"NR")))</f>
        <v>NR</v>
      </c>
      <c r="X123" s="40" t="s">
        <v>377</v>
      </c>
      <c r="Y123" s="40" t="s">
        <v>301</v>
      </c>
      <c r="Z123" s="40" t="s">
        <v>398</v>
      </c>
      <c r="AA123" s="40" t="s">
        <v>337</v>
      </c>
      <c r="AB123" s="40" t="s">
        <v>399</v>
      </c>
      <c r="AC123" s="40" t="s">
        <v>400</v>
      </c>
      <c r="AD123" s="44" t="s">
        <v>308</v>
      </c>
      <c r="AE123" s="44" t="s">
        <v>309</v>
      </c>
      <c r="AF123" s="44" t="s">
        <v>401</v>
      </c>
      <c r="AG123" s="44" t="s">
        <v>318</v>
      </c>
      <c r="AH123" s="48" t="s">
        <v>13</v>
      </c>
      <c r="AI123" s="46" t="s">
        <v>402</v>
      </c>
    </row>
    <row r="124" customFormat="false" ht="35.05" hidden="false" customHeight="false" outlineLevel="0" collapsed="false">
      <c r="A124" s="59" t="s">
        <v>784</v>
      </c>
      <c r="B124" s="60" t="s">
        <v>255</v>
      </c>
      <c r="C124" s="38" t="n">
        <f aca="false">IF(OR($R124="All",$R124="Not specified",ISNUMBER(SEARCH("K (",$R124))),$P124,1)</f>
        <v>1</v>
      </c>
      <c r="D124" s="38" t="n">
        <f aca="false">IF(OR($R124="All",$R124="Not specified",ISNUMBER(SEARCH("A (",$R124))),$P124,1)</f>
        <v>0.72</v>
      </c>
      <c r="E124" s="38" t="n">
        <f aca="false">IF(OR($R124="All",$R124="Not specified",ISNUMBER(SEARCH("B (",$R124))),$P124,1)</f>
        <v>0.72</v>
      </c>
      <c r="F124" s="38" t="n">
        <f aca="false">IF(OR($R124="All",$R124="Not specified",ISNUMBER(SEARCH("C (",$R124))),$P124,1)</f>
        <v>0.72</v>
      </c>
      <c r="G124" s="38" t="n">
        <f aca="false">IF(OR($R124="All",$R124="Not specified",ISNUMBER(SEARCH("O (",$R124))),$P124,1)</f>
        <v>1</v>
      </c>
      <c r="H124" s="39" t="n">
        <v>20</v>
      </c>
      <c r="I124" s="40"/>
      <c r="J124" s="40"/>
      <c r="K124" s="40"/>
      <c r="L124" s="40" t="s">
        <v>785</v>
      </c>
      <c r="M124" s="41" t="s">
        <v>298</v>
      </c>
      <c r="N124" s="39" t="n">
        <v>3</v>
      </c>
      <c r="O124" s="40" t="s">
        <v>72</v>
      </c>
      <c r="P124" s="42" t="n">
        <v>0.72</v>
      </c>
      <c r="Q124" s="43" t="n">
        <f aca="false">IF(ISNUMBER(P124),ROUND((1-P124)*100,1),"NR")</f>
        <v>28</v>
      </c>
      <c r="R124" s="40" t="s">
        <v>396</v>
      </c>
      <c r="S124" s="40" t="s">
        <v>476</v>
      </c>
      <c r="T124" s="40" t="s">
        <v>72</v>
      </c>
      <c r="U124" s="39" t="s">
        <v>301</v>
      </c>
      <c r="V124" s="39" t="s">
        <v>301</v>
      </c>
      <c r="W124" s="39" t="str">
        <f aca="false">IF(AND(ISNUMBER(U124),ISNUMBER(V124)),ROUND((U124+V124)/2,0),IF(ISNUMBER(U124),U124,IF(ISNUMBER(V124),V124,"NR")))</f>
        <v>NR</v>
      </c>
      <c r="X124" s="40" t="s">
        <v>302</v>
      </c>
      <c r="Y124" s="40" t="s">
        <v>301</v>
      </c>
      <c r="Z124" s="40" t="s">
        <v>594</v>
      </c>
      <c r="AA124" s="40" t="s">
        <v>415</v>
      </c>
      <c r="AB124" s="40" t="s">
        <v>399</v>
      </c>
      <c r="AC124" s="40"/>
      <c r="AD124" s="44" t="s">
        <v>308</v>
      </c>
      <c r="AE124" s="44" t="s">
        <v>309</v>
      </c>
      <c r="AF124" s="44" t="s">
        <v>478</v>
      </c>
      <c r="AG124" s="44" t="s">
        <v>318</v>
      </c>
      <c r="AH124" s="51" t="s">
        <v>9</v>
      </c>
      <c r="AI124" s="46"/>
    </row>
    <row r="125" customFormat="false" ht="23.85" hidden="false" customHeight="false" outlineLevel="0" collapsed="false">
      <c r="A125" s="59" t="s">
        <v>786</v>
      </c>
      <c r="B125" s="60" t="s">
        <v>255</v>
      </c>
      <c r="C125" s="38" t="n">
        <f aca="false">IF(OR($R125="All",$R125="Not specified",ISNUMBER(SEARCH("K (",$R125))),$P125,1)</f>
        <v>0.581</v>
      </c>
      <c r="D125" s="38" t="n">
        <f aca="false">IF(OR($R125="All",$R125="Not specified",ISNUMBER(SEARCH("A (",$R125))),$P125,1)</f>
        <v>0.581</v>
      </c>
      <c r="E125" s="38" t="n">
        <f aca="false">IF(OR($R125="All",$R125="Not specified",ISNUMBER(SEARCH("B (",$R125))),$P125,1)</f>
        <v>0.581</v>
      </c>
      <c r="F125" s="38" t="n">
        <f aca="false">IF(OR($R125="All",$R125="Not specified",ISNUMBER(SEARCH("C (",$R125))),$P125,1)</f>
        <v>0.581</v>
      </c>
      <c r="G125" s="38" t="n">
        <f aca="false">IF(OR($R125="All",$R125="Not specified",ISNUMBER(SEARCH("O (",$R125))),$P125,1)</f>
        <v>0.581</v>
      </c>
      <c r="H125" s="39" t="n">
        <v>20</v>
      </c>
      <c r="I125" s="40"/>
      <c r="J125" s="40"/>
      <c r="K125" s="40"/>
      <c r="L125" s="40" t="s">
        <v>787</v>
      </c>
      <c r="M125" s="47" t="s">
        <v>329</v>
      </c>
      <c r="N125" s="39" t="n">
        <v>4</v>
      </c>
      <c r="O125" s="40" t="s">
        <v>370</v>
      </c>
      <c r="P125" s="42" t="n">
        <v>0.581</v>
      </c>
      <c r="Q125" s="43" t="n">
        <f aca="false">IF(ISNUMBER(P125),ROUND((1-P125)*100,1),"NR")</f>
        <v>41.9</v>
      </c>
      <c r="R125" s="40" t="s">
        <v>72</v>
      </c>
      <c r="S125" s="40" t="s">
        <v>72</v>
      </c>
      <c r="T125" s="40" t="s">
        <v>321</v>
      </c>
      <c r="U125" s="39" t="s">
        <v>301</v>
      </c>
      <c r="V125" s="39" t="s">
        <v>301</v>
      </c>
      <c r="W125" s="39" t="str">
        <f aca="false">IF(AND(ISNUMBER(U125),ISNUMBER(V125)),ROUND((U125+V125)/2,0),IF(ISNUMBER(U125),U125,IF(ISNUMBER(V125),V125,"NR")))</f>
        <v>NR</v>
      </c>
      <c r="X125" s="40" t="s">
        <v>302</v>
      </c>
      <c r="Y125" s="40" t="s">
        <v>301</v>
      </c>
      <c r="Z125" s="40" t="s">
        <v>304</v>
      </c>
      <c r="AA125" s="40" t="s">
        <v>365</v>
      </c>
      <c r="AB125" s="40" t="s">
        <v>788</v>
      </c>
      <c r="AC125" s="40" t="s">
        <v>789</v>
      </c>
      <c r="AD125" s="44" t="s">
        <v>308</v>
      </c>
      <c r="AE125" s="44" t="s">
        <v>317</v>
      </c>
      <c r="AF125" s="44" t="s">
        <v>310</v>
      </c>
      <c r="AG125" s="44" t="s">
        <v>318</v>
      </c>
      <c r="AH125" s="45" t="s">
        <v>11</v>
      </c>
      <c r="AI125" s="46" t="s">
        <v>12</v>
      </c>
    </row>
    <row r="126" customFormat="false" ht="91" hidden="false" customHeight="false" outlineLevel="0" collapsed="false">
      <c r="A126" s="59" t="s">
        <v>790</v>
      </c>
      <c r="B126" s="60" t="s">
        <v>255</v>
      </c>
      <c r="C126" s="38" t="n">
        <f aca="false">IF(OR($R126="All",$R126="Not specified",ISNUMBER(SEARCH("K (",$R126))),$P126,1)</f>
        <v>0.62</v>
      </c>
      <c r="D126" s="38" t="n">
        <f aca="false">IF(OR($R126="All",$R126="Not specified",ISNUMBER(SEARCH("A (",$R126))),$P126,1)</f>
        <v>0.62</v>
      </c>
      <c r="E126" s="38" t="n">
        <f aca="false">IF(OR($R126="All",$R126="Not specified",ISNUMBER(SEARCH("B (",$R126))),$P126,1)</f>
        <v>0.62</v>
      </c>
      <c r="F126" s="38" t="n">
        <f aca="false">IF(OR($R126="All",$R126="Not specified",ISNUMBER(SEARCH("C (",$R126))),$P126,1)</f>
        <v>0.62</v>
      </c>
      <c r="G126" s="38" t="n">
        <f aca="false">IF(OR($R126="All",$R126="Not specified",ISNUMBER(SEARCH("O (",$R126))),$P126,1)</f>
        <v>0.62</v>
      </c>
      <c r="H126" s="39" t="n">
        <v>20</v>
      </c>
      <c r="I126" s="40"/>
      <c r="J126" s="40"/>
      <c r="K126" s="40"/>
      <c r="L126" s="40" t="s">
        <v>791</v>
      </c>
      <c r="M126" s="47" t="s">
        <v>329</v>
      </c>
      <c r="N126" s="39" t="n">
        <v>4</v>
      </c>
      <c r="O126" s="40" t="s">
        <v>67</v>
      </c>
      <c r="P126" s="42" t="n">
        <v>0.62</v>
      </c>
      <c r="Q126" s="43" t="n">
        <f aca="false">IF(ISNUMBER(P126),ROUND((1-P126)*100,1),"NR")</f>
        <v>38</v>
      </c>
      <c r="R126" s="40" t="s">
        <v>72</v>
      </c>
      <c r="S126" s="40" t="s">
        <v>604</v>
      </c>
      <c r="T126" s="40" t="s">
        <v>419</v>
      </c>
      <c r="U126" s="39" t="s">
        <v>301</v>
      </c>
      <c r="V126" s="39" t="s">
        <v>301</v>
      </c>
      <c r="W126" s="39" t="str">
        <f aca="false">IF(AND(ISNUMBER(U126),ISNUMBER(V126)),ROUND((U126+V126)/2,0),IF(ISNUMBER(U126),U126,IF(ISNUMBER(V126),V126,"NR")))</f>
        <v>NR</v>
      </c>
      <c r="X126" s="40" t="s">
        <v>302</v>
      </c>
      <c r="Y126" s="40" t="s">
        <v>301</v>
      </c>
      <c r="Z126" s="40" t="s">
        <v>304</v>
      </c>
      <c r="AA126" s="40" t="s">
        <v>305</v>
      </c>
      <c r="AB126" s="40" t="s">
        <v>306</v>
      </c>
      <c r="AC126" s="40" t="s">
        <v>792</v>
      </c>
      <c r="AD126" s="44" t="s">
        <v>308</v>
      </c>
      <c r="AE126" s="44" t="s">
        <v>317</v>
      </c>
      <c r="AF126" s="44" t="s">
        <v>605</v>
      </c>
      <c r="AG126" s="44" t="s">
        <v>318</v>
      </c>
      <c r="AH126" s="56" t="s">
        <v>15</v>
      </c>
      <c r="AI126" s="46" t="s">
        <v>793</v>
      </c>
    </row>
    <row r="127" customFormat="false" ht="23.85" hidden="false" customHeight="false" outlineLevel="0" collapsed="false">
      <c r="A127" s="59" t="s">
        <v>394</v>
      </c>
      <c r="B127" s="60" t="s">
        <v>255</v>
      </c>
      <c r="C127" s="38" t="n">
        <f aca="false">IF(OR($R127="All",$R127="Not specified",ISNUMBER(SEARCH("K (",$R127))),$P127,1)</f>
        <v>0.67</v>
      </c>
      <c r="D127" s="38" t="n">
        <f aca="false">IF(OR($R127="All",$R127="Not specified",ISNUMBER(SEARCH("A (",$R127))),$P127,1)</f>
        <v>0.67</v>
      </c>
      <c r="E127" s="38" t="n">
        <f aca="false">IF(OR($R127="All",$R127="Not specified",ISNUMBER(SEARCH("B (",$R127))),$P127,1)</f>
        <v>0.67</v>
      </c>
      <c r="F127" s="38" t="n">
        <f aca="false">IF(OR($R127="All",$R127="Not specified",ISNUMBER(SEARCH("C (",$R127))),$P127,1)</f>
        <v>0.67</v>
      </c>
      <c r="G127" s="38" t="n">
        <f aca="false">IF(OR($R127="All",$R127="Not specified",ISNUMBER(SEARCH("O (",$R127))),$P127,1)</f>
        <v>0.67</v>
      </c>
      <c r="H127" s="39" t="n">
        <v>20</v>
      </c>
      <c r="I127" s="40"/>
      <c r="J127" s="40"/>
      <c r="K127" s="40"/>
      <c r="L127" s="40" t="s">
        <v>794</v>
      </c>
      <c r="M127" s="47" t="s">
        <v>329</v>
      </c>
      <c r="N127" s="39" t="n">
        <v>4</v>
      </c>
      <c r="O127" s="40" t="s">
        <v>73</v>
      </c>
      <c r="P127" s="42" t="n">
        <v>0.67</v>
      </c>
      <c r="Q127" s="43" t="n">
        <f aca="false">IF(ISNUMBER(P127),ROUND((1-P127)*100,1),"NR")</f>
        <v>33</v>
      </c>
      <c r="R127" s="40" t="s">
        <v>72</v>
      </c>
      <c r="S127" s="40" t="s">
        <v>238</v>
      </c>
      <c r="T127" s="40" t="s">
        <v>371</v>
      </c>
      <c r="U127" s="39" t="n">
        <v>420</v>
      </c>
      <c r="V127" s="39" t="n">
        <v>15200</v>
      </c>
      <c r="W127" s="39" t="n">
        <f aca="false">IF(AND(ISNUMBER(U127),ISNUMBER(V127)),ROUND((U127+V127)/2,0),IF(ISNUMBER(U127),U127,IF(ISNUMBER(V127),V127,"NR")))</f>
        <v>7810</v>
      </c>
      <c r="X127" s="40" t="s">
        <v>377</v>
      </c>
      <c r="Y127" s="40" t="s">
        <v>795</v>
      </c>
      <c r="Z127" s="40" t="s">
        <v>304</v>
      </c>
      <c r="AA127" s="40" t="s">
        <v>427</v>
      </c>
      <c r="AB127" s="40" t="s">
        <v>325</v>
      </c>
      <c r="AC127" s="40" t="s">
        <v>719</v>
      </c>
      <c r="AD127" s="44" t="s">
        <v>308</v>
      </c>
      <c r="AE127" s="44" t="s">
        <v>317</v>
      </c>
      <c r="AF127" s="44" t="s">
        <v>664</v>
      </c>
      <c r="AG127" s="44" t="s">
        <v>796</v>
      </c>
      <c r="AH127" s="48" t="s">
        <v>13</v>
      </c>
      <c r="AI127" s="46" t="s">
        <v>797</v>
      </c>
    </row>
    <row r="128" customFormat="false" ht="46.25" hidden="false" customHeight="false" outlineLevel="0" collapsed="false">
      <c r="A128" s="59" t="s">
        <v>798</v>
      </c>
      <c r="B128" s="60" t="s">
        <v>260</v>
      </c>
      <c r="C128" s="38" t="n">
        <f aca="false">IF(OR($R128="All",$R128="Not specified",ISNUMBER(SEARCH("K (",$R128))),$P128,1)</f>
        <v>0.365</v>
      </c>
      <c r="D128" s="38" t="n">
        <f aca="false">IF(OR($R128="All",$R128="Not specified",ISNUMBER(SEARCH("A (",$R128))),$P128,1)</f>
        <v>0.365</v>
      </c>
      <c r="E128" s="38" t="n">
        <f aca="false">IF(OR($R128="All",$R128="Not specified",ISNUMBER(SEARCH("B (",$R128))),$P128,1)</f>
        <v>0.365</v>
      </c>
      <c r="F128" s="38" t="n">
        <f aca="false">IF(OR($R128="All",$R128="Not specified",ISNUMBER(SEARCH("C (",$R128))),$P128,1)</f>
        <v>0.365</v>
      </c>
      <c r="G128" s="38" t="n">
        <f aca="false">IF(OR($R128="All",$R128="Not specified",ISNUMBER(SEARCH("O (",$R128))),$P128,1)</f>
        <v>1</v>
      </c>
      <c r="H128" s="39" t="n">
        <v>20</v>
      </c>
      <c r="I128" s="40"/>
      <c r="J128" s="40"/>
      <c r="K128" s="40"/>
      <c r="L128" s="40" t="s">
        <v>799</v>
      </c>
      <c r="M128" s="41" t="s">
        <v>298</v>
      </c>
      <c r="N128" s="39" t="n">
        <v>4</v>
      </c>
      <c r="O128" s="40" t="s">
        <v>302</v>
      </c>
      <c r="P128" s="42" t="n">
        <v>0.365</v>
      </c>
      <c r="Q128" s="43" t="n">
        <f aca="false">IF(ISNUMBER(P128),ROUND((1-P128)*100,1),"NR")</f>
        <v>63.5</v>
      </c>
      <c r="R128" s="40" t="s">
        <v>299</v>
      </c>
      <c r="S128" s="40" t="s">
        <v>72</v>
      </c>
      <c r="T128" s="40" t="s">
        <v>321</v>
      </c>
      <c r="U128" s="39" t="s">
        <v>301</v>
      </c>
      <c r="V128" s="39" t="s">
        <v>301</v>
      </c>
      <c r="W128" s="39" t="str">
        <f aca="false">IF(AND(ISNUMBER(U128),ISNUMBER(V128)),ROUND((U128+V128)/2,0),IF(ISNUMBER(U128),U128,IF(ISNUMBER(V128),V128,"NR")))</f>
        <v>NR</v>
      </c>
      <c r="X128" s="40" t="s">
        <v>302</v>
      </c>
      <c r="Y128" s="40" t="s">
        <v>301</v>
      </c>
      <c r="Z128" s="40" t="s">
        <v>304</v>
      </c>
      <c r="AA128" s="40" t="s">
        <v>355</v>
      </c>
      <c r="AB128" s="40" t="s">
        <v>306</v>
      </c>
      <c r="AC128" s="40"/>
      <c r="AD128" s="44" t="s">
        <v>308</v>
      </c>
      <c r="AE128" s="44" t="s">
        <v>309</v>
      </c>
      <c r="AF128" s="44" t="s">
        <v>310</v>
      </c>
      <c r="AG128" s="44" t="s">
        <v>318</v>
      </c>
      <c r="AH128" s="45" t="s">
        <v>11</v>
      </c>
      <c r="AI128" s="46" t="s">
        <v>12</v>
      </c>
    </row>
    <row r="129" customFormat="false" ht="35.05" hidden="false" customHeight="false" outlineLevel="0" collapsed="false">
      <c r="A129" s="59" t="s">
        <v>800</v>
      </c>
      <c r="B129" s="60" t="s">
        <v>260</v>
      </c>
      <c r="C129" s="38" t="n">
        <f aca="false">IF(OR($R129="All",$R129="Not specified",ISNUMBER(SEARCH("K (",$R129))),$P129,1)</f>
        <v>0.799</v>
      </c>
      <c r="D129" s="38" t="n">
        <f aca="false">IF(OR($R129="All",$R129="Not specified",ISNUMBER(SEARCH("A (",$R129))),$P129,1)</f>
        <v>0.799</v>
      </c>
      <c r="E129" s="38" t="n">
        <f aca="false">IF(OR($R129="All",$R129="Not specified",ISNUMBER(SEARCH("B (",$R129))),$P129,1)</f>
        <v>0.799</v>
      </c>
      <c r="F129" s="38" t="n">
        <f aca="false">IF(OR($R129="All",$R129="Not specified",ISNUMBER(SEARCH("C (",$R129))),$P129,1)</f>
        <v>0.799</v>
      </c>
      <c r="G129" s="38" t="n">
        <f aca="false">IF(OR($R129="All",$R129="Not specified",ISNUMBER(SEARCH("O (",$R129))),$P129,1)</f>
        <v>0.799</v>
      </c>
      <c r="H129" s="39" t="n">
        <v>20</v>
      </c>
      <c r="I129" s="40"/>
      <c r="J129" s="40"/>
      <c r="K129" s="40"/>
      <c r="L129" s="40" t="s">
        <v>801</v>
      </c>
      <c r="M129" s="41" t="s">
        <v>298</v>
      </c>
      <c r="N129" s="39" t="n">
        <v>4</v>
      </c>
      <c r="O129" s="40" t="s">
        <v>72</v>
      </c>
      <c r="P129" s="42" t="n">
        <v>0.799</v>
      </c>
      <c r="Q129" s="43" t="n">
        <f aca="false">IF(ISNUMBER(P129),ROUND((1-P129)*100,1),"NR")</f>
        <v>20.1</v>
      </c>
      <c r="R129" s="40" t="s">
        <v>72</v>
      </c>
      <c r="S129" s="40" t="s">
        <v>72</v>
      </c>
      <c r="T129" s="40" t="s">
        <v>371</v>
      </c>
      <c r="U129" s="39" t="n">
        <v>3475</v>
      </c>
      <c r="V129" s="39" t="n">
        <v>65850</v>
      </c>
      <c r="W129" s="39" t="n">
        <f aca="false">IF(AND(ISNUMBER(U129),ISNUMBER(V129)),ROUND((U129+V129)/2,0),IF(ISNUMBER(U129),U129,IF(ISNUMBER(V129),V129,"NR")))</f>
        <v>34663</v>
      </c>
      <c r="X129" s="40" t="s">
        <v>377</v>
      </c>
      <c r="Y129" s="40" t="s">
        <v>301</v>
      </c>
      <c r="Z129" s="40" t="s">
        <v>304</v>
      </c>
      <c r="AA129" s="40" t="s">
        <v>305</v>
      </c>
      <c r="AB129" s="40" t="s">
        <v>306</v>
      </c>
      <c r="AC129" s="40"/>
      <c r="AD129" s="44" t="s">
        <v>308</v>
      </c>
      <c r="AE129" s="44" t="s">
        <v>317</v>
      </c>
      <c r="AF129" s="44" t="s">
        <v>310</v>
      </c>
      <c r="AG129" s="44" t="s">
        <v>802</v>
      </c>
      <c r="AH129" s="45" t="s">
        <v>11</v>
      </c>
      <c r="AI129" s="46" t="s">
        <v>12</v>
      </c>
    </row>
    <row r="130" customFormat="false" ht="79.85" hidden="false" customHeight="false" outlineLevel="0" collapsed="false">
      <c r="A130" s="59" t="s">
        <v>803</v>
      </c>
      <c r="B130" s="60" t="s">
        <v>260</v>
      </c>
      <c r="C130" s="38" t="n">
        <f aca="false">IF(OR($R130="All",$R130="Not specified",ISNUMBER(SEARCH("K (",$R130))),$P130,1)</f>
        <v>0.222</v>
      </c>
      <c r="D130" s="38" t="n">
        <f aca="false">IF(OR($R130="All",$R130="Not specified",ISNUMBER(SEARCH("A (",$R130))),$P130,1)</f>
        <v>0.222</v>
      </c>
      <c r="E130" s="38" t="n">
        <f aca="false">IF(OR($R130="All",$R130="Not specified",ISNUMBER(SEARCH("B (",$R130))),$P130,1)</f>
        <v>0.222</v>
      </c>
      <c r="F130" s="38" t="n">
        <f aca="false">IF(OR($R130="All",$R130="Not specified",ISNUMBER(SEARCH("C (",$R130))),$P130,1)</f>
        <v>0.222</v>
      </c>
      <c r="G130" s="38" t="n">
        <f aca="false">IF(OR($R130="All",$R130="Not specified",ISNUMBER(SEARCH("O (",$R130))),$P130,1)</f>
        <v>0.222</v>
      </c>
      <c r="H130" s="39" t="n">
        <v>20</v>
      </c>
      <c r="I130" s="40"/>
      <c r="J130" s="40"/>
      <c r="K130" s="40"/>
      <c r="L130" s="40" t="s">
        <v>804</v>
      </c>
      <c r="M130" s="47" t="s">
        <v>329</v>
      </c>
      <c r="N130" s="39" t="n">
        <v>4</v>
      </c>
      <c r="O130" s="40" t="s">
        <v>72</v>
      </c>
      <c r="P130" s="42" t="n">
        <v>0.222</v>
      </c>
      <c r="Q130" s="43" t="n">
        <f aca="false">IF(ISNUMBER(P130),ROUND((1-P130)*100,1),"NR")</f>
        <v>77.8</v>
      </c>
      <c r="R130" s="40" t="s">
        <v>72</v>
      </c>
      <c r="S130" s="40" t="s">
        <v>805</v>
      </c>
      <c r="T130" s="40" t="s">
        <v>321</v>
      </c>
      <c r="U130" s="39" t="n">
        <v>1280</v>
      </c>
      <c r="V130" s="39" t="n">
        <v>22600</v>
      </c>
      <c r="W130" s="39" t="n">
        <f aca="false">IF(AND(ISNUMBER(U130),ISNUMBER(V130)),ROUND((U130+V130)/2,0),IF(ISNUMBER(U130),U130,IF(ISNUMBER(V130),V130,"NR")))</f>
        <v>11940</v>
      </c>
      <c r="X130" s="40" t="s">
        <v>302</v>
      </c>
      <c r="Y130" s="40" t="s">
        <v>301</v>
      </c>
      <c r="Z130" s="40" t="s">
        <v>304</v>
      </c>
      <c r="AA130" s="40" t="s">
        <v>337</v>
      </c>
      <c r="AB130" s="40" t="s">
        <v>306</v>
      </c>
      <c r="AC130" s="40" t="s">
        <v>736</v>
      </c>
      <c r="AD130" s="44" t="s">
        <v>308</v>
      </c>
      <c r="AE130" s="44" t="s">
        <v>317</v>
      </c>
      <c r="AF130" s="44" t="s">
        <v>806</v>
      </c>
      <c r="AG130" s="44" t="s">
        <v>807</v>
      </c>
      <c r="AH130" s="51" t="s">
        <v>9</v>
      </c>
      <c r="AI130" s="46"/>
    </row>
    <row r="131" customFormat="false" ht="79.85" hidden="false" customHeight="false" outlineLevel="0" collapsed="false">
      <c r="A131" s="59" t="s">
        <v>808</v>
      </c>
      <c r="B131" s="60" t="s">
        <v>260</v>
      </c>
      <c r="C131" s="38" t="n">
        <f aca="false">IF(OR($R131="All",$R131="Not specified",ISNUMBER(SEARCH("K (",$R131))),$P131,1)</f>
        <v>0.306</v>
      </c>
      <c r="D131" s="38" t="n">
        <f aca="false">IF(OR($R131="All",$R131="Not specified",ISNUMBER(SEARCH("A (",$R131))),$P131,1)</f>
        <v>0.306</v>
      </c>
      <c r="E131" s="38" t="n">
        <f aca="false">IF(OR($R131="All",$R131="Not specified",ISNUMBER(SEARCH("B (",$R131))),$P131,1)</f>
        <v>0.306</v>
      </c>
      <c r="F131" s="38" t="n">
        <f aca="false">IF(OR($R131="All",$R131="Not specified",ISNUMBER(SEARCH("C (",$R131))),$P131,1)</f>
        <v>0.306</v>
      </c>
      <c r="G131" s="38" t="n">
        <f aca="false">IF(OR($R131="All",$R131="Not specified",ISNUMBER(SEARCH("O (",$R131))),$P131,1)</f>
        <v>0.306</v>
      </c>
      <c r="H131" s="39" t="n">
        <v>20</v>
      </c>
      <c r="I131" s="40"/>
      <c r="J131" s="40"/>
      <c r="K131" s="40"/>
      <c r="L131" s="40" t="s">
        <v>809</v>
      </c>
      <c r="M131" s="47" t="s">
        <v>329</v>
      </c>
      <c r="N131" s="39" t="n">
        <v>4</v>
      </c>
      <c r="O131" s="40" t="s">
        <v>72</v>
      </c>
      <c r="P131" s="42" t="n">
        <v>0.306</v>
      </c>
      <c r="Q131" s="43" t="n">
        <f aca="false">IF(ISNUMBER(P131),ROUND((1-P131)*100,1),"NR")</f>
        <v>69.4</v>
      </c>
      <c r="R131" s="40" t="s">
        <v>72</v>
      </c>
      <c r="S131" s="40" t="s">
        <v>805</v>
      </c>
      <c r="T131" s="40" t="s">
        <v>72</v>
      </c>
      <c r="U131" s="39" t="n">
        <v>14961</v>
      </c>
      <c r="V131" s="39" t="n">
        <v>158656</v>
      </c>
      <c r="W131" s="39" t="n">
        <f aca="false">IF(AND(ISNUMBER(U131),ISNUMBER(V131)),ROUND((U131+V131)/2,0),IF(ISNUMBER(U131),U131,IF(ISNUMBER(V131),V131,"NR")))</f>
        <v>86809</v>
      </c>
      <c r="X131" s="40" t="s">
        <v>302</v>
      </c>
      <c r="Y131" s="40" t="s">
        <v>301</v>
      </c>
      <c r="Z131" s="40" t="s">
        <v>304</v>
      </c>
      <c r="AA131" s="40" t="s">
        <v>583</v>
      </c>
      <c r="AB131" s="40" t="s">
        <v>306</v>
      </c>
      <c r="AC131" s="40" t="s">
        <v>736</v>
      </c>
      <c r="AD131" s="44" t="s">
        <v>308</v>
      </c>
      <c r="AE131" s="44" t="s">
        <v>317</v>
      </c>
      <c r="AF131" s="44" t="s">
        <v>806</v>
      </c>
      <c r="AG131" s="44" t="s">
        <v>810</v>
      </c>
      <c r="AH131" s="51" t="s">
        <v>9</v>
      </c>
      <c r="AI131" s="46"/>
    </row>
    <row r="132" customFormat="false" ht="79.85" hidden="false" customHeight="false" outlineLevel="0" collapsed="false">
      <c r="A132" s="59" t="s">
        <v>811</v>
      </c>
      <c r="B132" s="60" t="s">
        <v>260</v>
      </c>
      <c r="C132" s="38" t="n">
        <f aca="false">IF(OR($R132="All",$R132="Not specified",ISNUMBER(SEARCH("K (",$R132))),$P132,1)</f>
        <v>0.33</v>
      </c>
      <c r="D132" s="38" t="n">
        <f aca="false">IF(OR($R132="All",$R132="Not specified",ISNUMBER(SEARCH("A (",$R132))),$P132,1)</f>
        <v>0.33</v>
      </c>
      <c r="E132" s="38" t="n">
        <f aca="false">IF(OR($R132="All",$R132="Not specified",ISNUMBER(SEARCH("B (",$R132))),$P132,1)</f>
        <v>0.33</v>
      </c>
      <c r="F132" s="38" t="n">
        <f aca="false">IF(OR($R132="All",$R132="Not specified",ISNUMBER(SEARCH("C (",$R132))),$P132,1)</f>
        <v>0.33</v>
      </c>
      <c r="G132" s="38" t="n">
        <f aca="false">IF(OR($R132="All",$R132="Not specified",ISNUMBER(SEARCH("O (",$R132))),$P132,1)</f>
        <v>0.33</v>
      </c>
      <c r="H132" s="39" t="n">
        <v>20</v>
      </c>
      <c r="I132" s="40"/>
      <c r="J132" s="40"/>
      <c r="K132" s="40"/>
      <c r="L132" s="40" t="s">
        <v>812</v>
      </c>
      <c r="M132" s="47" t="s">
        <v>329</v>
      </c>
      <c r="N132" s="39" t="n">
        <v>4</v>
      </c>
      <c r="O132" s="40" t="s">
        <v>72</v>
      </c>
      <c r="P132" s="42" t="n">
        <v>0.33</v>
      </c>
      <c r="Q132" s="43" t="n">
        <f aca="false">IF(ISNUMBER(P132),ROUND((1-P132)*100,1),"NR")</f>
        <v>67</v>
      </c>
      <c r="R132" s="40" t="s">
        <v>72</v>
      </c>
      <c r="S132" s="40" t="s">
        <v>813</v>
      </c>
      <c r="T132" s="40" t="s">
        <v>72</v>
      </c>
      <c r="U132" s="39" t="n">
        <v>2508</v>
      </c>
      <c r="V132" s="39" t="n">
        <v>50811</v>
      </c>
      <c r="W132" s="39" t="n">
        <f aca="false">IF(AND(ISNUMBER(U132),ISNUMBER(V132)),ROUND((U132+V132)/2,0),IF(ISNUMBER(U132),U132,IF(ISNUMBER(V132),V132,"NR")))</f>
        <v>26660</v>
      </c>
      <c r="X132" s="40" t="s">
        <v>302</v>
      </c>
      <c r="Y132" s="40" t="s">
        <v>301</v>
      </c>
      <c r="Z132" s="40" t="s">
        <v>304</v>
      </c>
      <c r="AA132" s="40" t="s">
        <v>583</v>
      </c>
      <c r="AB132" s="40" t="s">
        <v>306</v>
      </c>
      <c r="AC132" s="40" t="s">
        <v>736</v>
      </c>
      <c r="AD132" s="44" t="s">
        <v>308</v>
      </c>
      <c r="AE132" s="44" t="s">
        <v>317</v>
      </c>
      <c r="AF132" s="44" t="s">
        <v>814</v>
      </c>
      <c r="AG132" s="44" t="s">
        <v>815</v>
      </c>
      <c r="AH132" s="51" t="s">
        <v>9</v>
      </c>
      <c r="AI132" s="46"/>
    </row>
    <row r="133" customFormat="false" ht="79.85" hidden="false" customHeight="false" outlineLevel="0" collapsed="false">
      <c r="A133" s="59" t="s">
        <v>816</v>
      </c>
      <c r="B133" s="60" t="s">
        <v>260</v>
      </c>
      <c r="C133" s="38" t="n">
        <f aca="false">IF(OR($R133="All",$R133="Not specified",ISNUMBER(SEARCH("K (",$R133))),$P133,1)</f>
        <v>0.44</v>
      </c>
      <c r="D133" s="38" t="n">
        <f aca="false">IF(OR($R133="All",$R133="Not specified",ISNUMBER(SEARCH("A (",$R133))),$P133,1)</f>
        <v>0.44</v>
      </c>
      <c r="E133" s="38" t="n">
        <f aca="false">IF(OR($R133="All",$R133="Not specified",ISNUMBER(SEARCH("B (",$R133))),$P133,1)</f>
        <v>0.44</v>
      </c>
      <c r="F133" s="38" t="n">
        <f aca="false">IF(OR($R133="All",$R133="Not specified",ISNUMBER(SEARCH("C (",$R133))),$P133,1)</f>
        <v>0.44</v>
      </c>
      <c r="G133" s="38" t="n">
        <f aca="false">IF(OR($R133="All",$R133="Not specified",ISNUMBER(SEARCH("O (",$R133))),$P133,1)</f>
        <v>0.44</v>
      </c>
      <c r="H133" s="39" t="n">
        <v>20</v>
      </c>
      <c r="I133" s="40"/>
      <c r="J133" s="40"/>
      <c r="K133" s="40"/>
      <c r="L133" s="40" t="s">
        <v>817</v>
      </c>
      <c r="M133" s="47" t="s">
        <v>329</v>
      </c>
      <c r="N133" s="39" t="n">
        <v>4</v>
      </c>
      <c r="O133" s="40" t="s">
        <v>72</v>
      </c>
      <c r="P133" s="42" t="n">
        <v>0.44</v>
      </c>
      <c r="Q133" s="43" t="n">
        <f aca="false">IF(ISNUMBER(P133),ROUND((1-P133)*100,1),"NR")</f>
        <v>56</v>
      </c>
      <c r="R133" s="40" t="s">
        <v>72</v>
      </c>
      <c r="S133" s="40" t="s">
        <v>502</v>
      </c>
      <c r="T133" s="40" t="s">
        <v>72</v>
      </c>
      <c r="U133" s="39" t="n">
        <v>628</v>
      </c>
      <c r="V133" s="39" t="n">
        <v>30314</v>
      </c>
      <c r="W133" s="39" t="n">
        <f aca="false">IF(AND(ISNUMBER(U133),ISNUMBER(V133)),ROUND((U133+V133)/2,0),IF(ISNUMBER(U133),U133,IF(ISNUMBER(V133),V133,"NR")))</f>
        <v>15471</v>
      </c>
      <c r="X133" s="40" t="s">
        <v>302</v>
      </c>
      <c r="Y133" s="40" t="s">
        <v>301</v>
      </c>
      <c r="Z133" s="40" t="s">
        <v>304</v>
      </c>
      <c r="AA133" s="40" t="s">
        <v>337</v>
      </c>
      <c r="AB133" s="40" t="s">
        <v>306</v>
      </c>
      <c r="AC133" s="40" t="s">
        <v>736</v>
      </c>
      <c r="AD133" s="44" t="s">
        <v>308</v>
      </c>
      <c r="AE133" s="44" t="s">
        <v>317</v>
      </c>
      <c r="AF133" s="44" t="s">
        <v>506</v>
      </c>
      <c r="AG133" s="44" t="s">
        <v>818</v>
      </c>
      <c r="AH133" s="51" t="s">
        <v>9</v>
      </c>
      <c r="AI133" s="46"/>
    </row>
    <row r="134" customFormat="false" ht="79.85" hidden="false" customHeight="false" outlineLevel="0" collapsed="false">
      <c r="A134" s="59" t="s">
        <v>819</v>
      </c>
      <c r="B134" s="60" t="s">
        <v>260</v>
      </c>
      <c r="C134" s="38" t="n">
        <f aca="false">IF(OR($R134="All",$R134="Not specified",ISNUMBER(SEARCH("K (",$R134))),$P134,1)</f>
        <v>0.48</v>
      </c>
      <c r="D134" s="38" t="n">
        <f aca="false">IF(OR($R134="All",$R134="Not specified",ISNUMBER(SEARCH("A (",$R134))),$P134,1)</f>
        <v>0.48</v>
      </c>
      <c r="E134" s="38" t="n">
        <f aca="false">IF(OR($R134="All",$R134="Not specified",ISNUMBER(SEARCH("B (",$R134))),$P134,1)</f>
        <v>0.48</v>
      </c>
      <c r="F134" s="38" t="n">
        <f aca="false">IF(OR($R134="All",$R134="Not specified",ISNUMBER(SEARCH("C (",$R134))),$P134,1)</f>
        <v>0.48</v>
      </c>
      <c r="G134" s="38" t="n">
        <f aca="false">IF(OR($R134="All",$R134="Not specified",ISNUMBER(SEARCH("O (",$R134))),$P134,1)</f>
        <v>0.48</v>
      </c>
      <c r="H134" s="39" t="n">
        <v>20</v>
      </c>
      <c r="I134" s="40"/>
      <c r="J134" s="40"/>
      <c r="K134" s="40"/>
      <c r="L134" s="40" t="s">
        <v>820</v>
      </c>
      <c r="M134" s="47" t="s">
        <v>329</v>
      </c>
      <c r="N134" s="39" t="n">
        <v>4</v>
      </c>
      <c r="O134" s="40" t="s">
        <v>72</v>
      </c>
      <c r="P134" s="42" t="n">
        <v>0.48</v>
      </c>
      <c r="Q134" s="43" t="n">
        <f aca="false">IF(ISNUMBER(P134),ROUND((1-P134)*100,1),"NR")</f>
        <v>52</v>
      </c>
      <c r="R134" s="40" t="s">
        <v>72</v>
      </c>
      <c r="S134" s="40" t="s">
        <v>813</v>
      </c>
      <c r="T134" s="40" t="s">
        <v>72</v>
      </c>
      <c r="U134" s="39" t="n">
        <v>10240</v>
      </c>
      <c r="V134" s="39" t="n">
        <v>278200</v>
      </c>
      <c r="W134" s="39" t="n">
        <f aca="false">IF(AND(ISNUMBER(U134),ISNUMBER(V134)),ROUND((U134+V134)/2,0),IF(ISNUMBER(U134),U134,IF(ISNUMBER(V134),V134,"NR")))</f>
        <v>144220</v>
      </c>
      <c r="X134" s="40" t="s">
        <v>302</v>
      </c>
      <c r="Y134" s="40" t="s">
        <v>301</v>
      </c>
      <c r="Z134" s="40" t="s">
        <v>304</v>
      </c>
      <c r="AA134" s="40" t="s">
        <v>337</v>
      </c>
      <c r="AB134" s="40" t="s">
        <v>306</v>
      </c>
      <c r="AC134" s="40" t="s">
        <v>736</v>
      </c>
      <c r="AD134" s="44" t="s">
        <v>308</v>
      </c>
      <c r="AE134" s="44" t="s">
        <v>317</v>
      </c>
      <c r="AF134" s="44" t="s">
        <v>814</v>
      </c>
      <c r="AG134" s="44" t="s">
        <v>821</v>
      </c>
      <c r="AH134" s="51" t="s">
        <v>9</v>
      </c>
      <c r="AI134" s="46"/>
    </row>
    <row r="135" customFormat="false" ht="79.85" hidden="false" customHeight="false" outlineLevel="0" collapsed="false">
      <c r="A135" s="59" t="s">
        <v>822</v>
      </c>
      <c r="B135" s="60" t="s">
        <v>260</v>
      </c>
      <c r="C135" s="38" t="n">
        <f aca="false">IF(OR($R135="All",$R135="Not specified",ISNUMBER(SEARCH("K (",$R135))),$P135,1)</f>
        <v>0.531</v>
      </c>
      <c r="D135" s="38" t="n">
        <f aca="false">IF(OR($R135="All",$R135="Not specified",ISNUMBER(SEARCH("A (",$R135))),$P135,1)</f>
        <v>0.531</v>
      </c>
      <c r="E135" s="38" t="n">
        <f aca="false">IF(OR($R135="All",$R135="Not specified",ISNUMBER(SEARCH("B (",$R135))),$P135,1)</f>
        <v>0.531</v>
      </c>
      <c r="F135" s="38" t="n">
        <f aca="false">IF(OR($R135="All",$R135="Not specified",ISNUMBER(SEARCH("C (",$R135))),$P135,1)</f>
        <v>0.531</v>
      </c>
      <c r="G135" s="38" t="n">
        <f aca="false">IF(OR($R135="All",$R135="Not specified",ISNUMBER(SEARCH("O (",$R135))),$P135,1)</f>
        <v>0.531</v>
      </c>
      <c r="H135" s="39" t="n">
        <v>20</v>
      </c>
      <c r="I135" s="40"/>
      <c r="J135" s="40"/>
      <c r="K135" s="40"/>
      <c r="L135" s="40" t="s">
        <v>823</v>
      </c>
      <c r="M135" s="47" t="s">
        <v>329</v>
      </c>
      <c r="N135" s="39" t="n">
        <v>4</v>
      </c>
      <c r="O135" s="40" t="s">
        <v>72</v>
      </c>
      <c r="P135" s="42" t="n">
        <v>0.531</v>
      </c>
      <c r="Q135" s="43" t="n">
        <f aca="false">IF(ISNUMBER(P135),ROUND((1-P135)*100,1),"NR")</f>
        <v>46.9</v>
      </c>
      <c r="R135" s="40" t="s">
        <v>72</v>
      </c>
      <c r="S135" s="40" t="s">
        <v>813</v>
      </c>
      <c r="T135" s="40" t="s">
        <v>72</v>
      </c>
      <c r="U135" s="39" t="n">
        <v>69</v>
      </c>
      <c r="V135" s="39" t="n">
        <v>8489</v>
      </c>
      <c r="W135" s="39" t="n">
        <f aca="false">IF(AND(ISNUMBER(U135),ISNUMBER(V135)),ROUND((U135+V135)/2,0),IF(ISNUMBER(U135),U135,IF(ISNUMBER(V135),V135,"NR")))</f>
        <v>4279</v>
      </c>
      <c r="X135" s="40" t="s">
        <v>302</v>
      </c>
      <c r="Y135" s="40" t="s">
        <v>301</v>
      </c>
      <c r="Z135" s="40" t="s">
        <v>304</v>
      </c>
      <c r="AA135" s="40" t="s">
        <v>583</v>
      </c>
      <c r="AB135" s="40" t="s">
        <v>306</v>
      </c>
      <c r="AC135" s="40" t="s">
        <v>736</v>
      </c>
      <c r="AD135" s="44" t="s">
        <v>308</v>
      </c>
      <c r="AE135" s="44" t="s">
        <v>317</v>
      </c>
      <c r="AF135" s="44" t="s">
        <v>814</v>
      </c>
      <c r="AG135" s="44" t="s">
        <v>824</v>
      </c>
      <c r="AH135" s="51" t="s">
        <v>9</v>
      </c>
      <c r="AI135" s="46"/>
    </row>
  </sheetData>
  <autoFilter ref="A2:AI135"/>
  <mergeCells count="1">
    <mergeCell ref="A1:AC1"/>
  </mergeCells>
  <conditionalFormatting sqref="N3:N135">
    <cfRule type="colorScale" priority="2">
      <colorScale>
        <cfvo type="num" val="1"/>
        <cfvo type="num" val="3"/>
        <cfvo type="num" val="5"/>
        <color rgb="FFF8696B"/>
        <color rgb="FFFFEB84"/>
        <color rgb="FF63BE7B"/>
      </colorScale>
    </cfRule>
  </conditionalFormatting>
  <conditionalFormatting sqref="P3:P135">
    <cfRule type="colorScale" priority="3">
      <colorScale>
        <cfvo type="min" val="0"/>
        <cfvo type="percentile" val="50"/>
        <cfvo type="max" val="0"/>
        <color rgb="FF63BE7B"/>
        <color rgb="FFFFEB84"/>
        <color rgb="FFF8696B"/>
      </colorScale>
    </cfRule>
  </conditionalFormatting>
  <conditionalFormatting sqref="Q3:Q135">
    <cfRule type="colorScale" priority="4">
      <colorScale>
        <cfvo type="min" val="0"/>
        <cfvo type="percentile" val="50"/>
        <cfvo type="max" val="0"/>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3"/>
    <col collapsed="false" customWidth="true" hidden="false" outlineLevel="0" max="3" min="3" style="0" width="60"/>
    <col collapsed="false" customWidth="true" hidden="false" outlineLevel="0" max="4" min="4" style="0" width="42"/>
    <col collapsed="false" customWidth="true" hidden="false" outlineLevel="0" max="5" min="5" style="0" width="44"/>
  </cols>
  <sheetData>
    <row r="1" customFormat="false" ht="25.5" hidden="false" customHeight="true" outlineLevel="0" collapsed="false">
      <c r="A1" s="9" t="s">
        <v>825</v>
      </c>
      <c r="B1" s="10"/>
      <c r="C1" s="10"/>
      <c r="D1" s="10"/>
      <c r="E1" s="10"/>
    </row>
    <row r="2" customFormat="false" ht="15" hidden="false" customHeight="false" outlineLevel="0" collapsed="false">
      <c r="A2" s="28" t="s">
        <v>826</v>
      </c>
      <c r="B2" s="28" t="s">
        <v>827</v>
      </c>
      <c r="C2" s="28" t="s">
        <v>828</v>
      </c>
      <c r="D2" s="28" t="s">
        <v>829</v>
      </c>
      <c r="E2" s="28" t="s">
        <v>830</v>
      </c>
    </row>
    <row r="3" customFormat="false" ht="41.25" hidden="false" customHeight="true" outlineLevel="0" collapsed="false">
      <c r="A3" s="30" t="s">
        <v>831</v>
      </c>
      <c r="B3" s="29" t="s">
        <v>832</v>
      </c>
      <c r="C3" s="29" t="s">
        <v>833</v>
      </c>
      <c r="D3" s="29" t="s">
        <v>834</v>
      </c>
      <c r="E3" s="29" t="s">
        <v>835</v>
      </c>
    </row>
    <row r="4" customFormat="false" ht="41.25" hidden="false" customHeight="true" outlineLevel="0" collapsed="false">
      <c r="A4" s="30" t="s">
        <v>836</v>
      </c>
      <c r="B4" s="29" t="s">
        <v>832</v>
      </c>
      <c r="C4" s="29" t="s">
        <v>837</v>
      </c>
      <c r="D4" s="29" t="s">
        <v>838</v>
      </c>
      <c r="E4" s="29" t="s">
        <v>839</v>
      </c>
    </row>
    <row r="5" customFormat="false" ht="78.75" hidden="false" customHeight="true" outlineLevel="0" collapsed="false">
      <c r="A5" s="30" t="s">
        <v>840</v>
      </c>
      <c r="B5" s="29" t="s">
        <v>832</v>
      </c>
      <c r="C5" s="29" t="s">
        <v>841</v>
      </c>
      <c r="D5" s="29" t="s">
        <v>842</v>
      </c>
      <c r="E5" s="29" t="s">
        <v>843</v>
      </c>
    </row>
    <row r="6" customFormat="false" ht="28.5" hidden="false" customHeight="true" outlineLevel="0" collapsed="false">
      <c r="A6" s="30" t="s">
        <v>844</v>
      </c>
      <c r="B6" s="29" t="s">
        <v>845</v>
      </c>
      <c r="C6" s="29" t="s">
        <v>846</v>
      </c>
      <c r="D6" s="29" t="s">
        <v>847</v>
      </c>
      <c r="E6" s="29" t="s">
        <v>848</v>
      </c>
    </row>
    <row r="7" customFormat="false" ht="28.5" hidden="false" customHeight="true" outlineLevel="0" collapsed="false">
      <c r="A7" s="30" t="s">
        <v>849</v>
      </c>
      <c r="B7" s="29" t="s">
        <v>832</v>
      </c>
      <c r="C7" s="29" t="s">
        <v>850</v>
      </c>
      <c r="D7" s="29" t="s">
        <v>851</v>
      </c>
      <c r="E7" s="29" t="s">
        <v>852</v>
      </c>
    </row>
    <row r="8" customFormat="false" ht="28.5" hidden="false" customHeight="true" outlineLevel="0" collapsed="false">
      <c r="A8" s="30" t="s">
        <v>853</v>
      </c>
      <c r="B8" s="29" t="s">
        <v>854</v>
      </c>
      <c r="C8" s="29" t="s">
        <v>855</v>
      </c>
      <c r="D8" s="29" t="s">
        <v>856</v>
      </c>
      <c r="E8" s="29" t="s">
        <v>857</v>
      </c>
    </row>
    <row r="9" customFormat="false" ht="28.5" hidden="false" customHeight="true" outlineLevel="0" collapsed="false">
      <c r="A9" s="30" t="s">
        <v>858</v>
      </c>
      <c r="B9" s="29" t="s">
        <v>832</v>
      </c>
      <c r="C9" s="29" t="s">
        <v>859</v>
      </c>
      <c r="D9" s="29" t="s">
        <v>860</v>
      </c>
      <c r="E9" s="29" t="s">
        <v>861</v>
      </c>
    </row>
    <row r="10" customFormat="false" ht="28.5" hidden="false" customHeight="true" outlineLevel="0" collapsed="false">
      <c r="A10" s="30" t="s">
        <v>862</v>
      </c>
      <c r="B10" s="29" t="s">
        <v>832</v>
      </c>
      <c r="C10" s="29" t="s">
        <v>863</v>
      </c>
      <c r="D10" s="29" t="s">
        <v>864</v>
      </c>
      <c r="E10" s="29" t="s">
        <v>861</v>
      </c>
    </row>
    <row r="11" customFormat="false" ht="16.5" hidden="false" customHeight="true" outlineLevel="0" collapsed="false">
      <c r="A11" s="30" t="s">
        <v>865</v>
      </c>
      <c r="B11" s="29" t="s">
        <v>832</v>
      </c>
      <c r="C11" s="29" t="s">
        <v>866</v>
      </c>
      <c r="D11" s="29" t="s">
        <v>867</v>
      </c>
      <c r="E11" s="29" t="s">
        <v>868</v>
      </c>
    </row>
    <row r="12" customFormat="false" ht="16.5" hidden="false" customHeight="true" outlineLevel="0" collapsed="false">
      <c r="A12" s="30" t="s">
        <v>24</v>
      </c>
      <c r="B12" s="29" t="s">
        <v>832</v>
      </c>
      <c r="C12" s="29" t="s">
        <v>869</v>
      </c>
      <c r="D12" s="29" t="s">
        <v>870</v>
      </c>
      <c r="E12" s="29" t="s">
        <v>871</v>
      </c>
    </row>
    <row r="13" customFormat="false" ht="41.25" hidden="false" customHeight="true" outlineLevel="0" collapsed="false">
      <c r="A13" s="30" t="s">
        <v>872</v>
      </c>
      <c r="B13" s="29" t="s">
        <v>873</v>
      </c>
      <c r="C13" s="29" t="s">
        <v>874</v>
      </c>
      <c r="D13" s="29" t="s">
        <v>875</v>
      </c>
      <c r="E13" s="29" t="s">
        <v>876</v>
      </c>
    </row>
    <row r="14" customFormat="false" ht="16.5" hidden="false" customHeight="true" outlineLevel="0" collapsed="false">
      <c r="A14" s="30" t="s">
        <v>877</v>
      </c>
      <c r="B14" s="29" t="s">
        <v>873</v>
      </c>
      <c r="C14" s="29" t="s">
        <v>878</v>
      </c>
      <c r="D14" s="29" t="s">
        <v>879</v>
      </c>
      <c r="E14" s="29" t="s">
        <v>880</v>
      </c>
    </row>
    <row r="15" customFormat="false" ht="16.5" hidden="false" customHeight="true" outlineLevel="0" collapsed="false">
      <c r="A15" s="30" t="s">
        <v>881</v>
      </c>
      <c r="B15" s="29" t="s">
        <v>873</v>
      </c>
      <c r="C15" s="29" t="s">
        <v>882</v>
      </c>
      <c r="D15" s="29" t="s">
        <v>883</v>
      </c>
      <c r="E15" s="29" t="s">
        <v>884</v>
      </c>
    </row>
    <row r="16" customFormat="false" ht="28.5" hidden="false" customHeight="true" outlineLevel="0" collapsed="false">
      <c r="A16" s="30" t="s">
        <v>885</v>
      </c>
      <c r="B16" s="29" t="s">
        <v>886</v>
      </c>
      <c r="C16" s="29" t="s">
        <v>887</v>
      </c>
      <c r="D16" s="29" t="s">
        <v>888</v>
      </c>
      <c r="E16" s="29" t="s">
        <v>889</v>
      </c>
    </row>
    <row r="17" customFormat="false" ht="28.5" hidden="false" customHeight="true" outlineLevel="0" collapsed="false">
      <c r="A17" s="30" t="s">
        <v>890</v>
      </c>
      <c r="B17" s="29" t="s">
        <v>832</v>
      </c>
      <c r="C17" s="29" t="s">
        <v>891</v>
      </c>
      <c r="D17" s="29" t="s">
        <v>126</v>
      </c>
      <c r="E17" s="29" t="s">
        <v>892</v>
      </c>
    </row>
    <row r="18" customFormat="false" ht="28.5" hidden="false" customHeight="true" outlineLevel="0" collapsed="false">
      <c r="A18" s="30" t="s">
        <v>893</v>
      </c>
      <c r="B18" s="29" t="s">
        <v>832</v>
      </c>
      <c r="C18" s="29" t="s">
        <v>894</v>
      </c>
      <c r="D18" s="29" t="s">
        <v>126</v>
      </c>
      <c r="E18" s="29" t="s">
        <v>895</v>
      </c>
    </row>
    <row r="19" customFormat="false" ht="41.25" hidden="false" customHeight="true" outlineLevel="0" collapsed="false">
      <c r="A19" s="30" t="s">
        <v>896</v>
      </c>
      <c r="B19" s="29" t="s">
        <v>832</v>
      </c>
      <c r="C19" s="29" t="s">
        <v>897</v>
      </c>
      <c r="D19" s="29" t="s">
        <v>126</v>
      </c>
      <c r="E19" s="29" t="s">
        <v>898</v>
      </c>
    </row>
    <row r="20" customFormat="false" ht="16.5" hidden="false" customHeight="true" outlineLevel="0" collapsed="false">
      <c r="A20" s="30" t="s">
        <v>899</v>
      </c>
      <c r="B20" s="29" t="s">
        <v>832</v>
      </c>
      <c r="C20" s="29" t="s">
        <v>900</v>
      </c>
      <c r="D20" s="29" t="s">
        <v>126</v>
      </c>
      <c r="E20" s="29" t="s">
        <v>895</v>
      </c>
    </row>
    <row r="22" customFormat="false" ht="15" hidden="false" customHeight="false" outlineLevel="0" collapsed="false">
      <c r="A22" s="6" t="s">
        <v>901</v>
      </c>
    </row>
    <row r="23" customFormat="false" ht="27.75" hidden="false" customHeight="true" outlineLevel="0" collapsed="false">
      <c r="A23" s="61" t="s">
        <v>902</v>
      </c>
      <c r="B23" s="61"/>
      <c r="C23" s="61"/>
      <c r="D23" s="61"/>
      <c r="E23" s="61"/>
    </row>
    <row r="24" customFormat="false" ht="27.75" hidden="false" customHeight="true" outlineLevel="0" collapsed="false">
      <c r="A24" s="61" t="s">
        <v>903</v>
      </c>
      <c r="B24" s="61"/>
      <c r="C24" s="61"/>
      <c r="D24" s="61"/>
      <c r="E24" s="61"/>
    </row>
    <row r="25" customFormat="false" ht="27.75" hidden="false" customHeight="true" outlineLevel="0" collapsed="false">
      <c r="A25" s="61" t="s">
        <v>904</v>
      </c>
      <c r="B25" s="61"/>
      <c r="C25" s="61"/>
      <c r="D25" s="61"/>
      <c r="E25" s="61"/>
    </row>
    <row r="26" customFormat="false" ht="27.75" hidden="false" customHeight="true" outlineLevel="0" collapsed="false">
      <c r="A26" s="61" t="s">
        <v>905</v>
      </c>
      <c r="B26" s="61"/>
      <c r="C26" s="61"/>
      <c r="D26" s="61"/>
      <c r="E26" s="61"/>
    </row>
    <row r="27" customFormat="false" ht="27.75" hidden="false" customHeight="true" outlineLevel="0" collapsed="false">
      <c r="A27" s="61" t="s">
        <v>906</v>
      </c>
      <c r="B27" s="61"/>
      <c r="C27" s="61"/>
      <c r="D27" s="61"/>
      <c r="E27" s="61"/>
    </row>
  </sheetData>
  <mergeCells count="5">
    <mergeCell ref="A23:E23"/>
    <mergeCell ref="A24:E24"/>
    <mergeCell ref="A25:E25"/>
    <mergeCell ref="A26:E26"/>
    <mergeCell ref="A27:E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0"/>
    <col collapsed="false" customWidth="true" hidden="false" outlineLevel="0" max="3" min="3" style="0" width="56"/>
    <col collapsed="false" customWidth="true" hidden="false" outlineLevel="0" max="4" min="4" style="0" width="60"/>
  </cols>
  <sheetData>
    <row r="1" customFormat="false" ht="25.5" hidden="false" customHeight="true" outlineLevel="0" collapsed="false">
      <c r="A1" s="9" t="s">
        <v>907</v>
      </c>
      <c r="B1" s="10"/>
      <c r="C1" s="10"/>
      <c r="D1" s="10"/>
    </row>
    <row r="2" customFormat="false" ht="15" hidden="false" customHeight="false" outlineLevel="0" collapsed="false">
      <c r="A2" s="62" t="s">
        <v>908</v>
      </c>
      <c r="B2" s="62" t="s">
        <v>909</v>
      </c>
      <c r="C2" s="62" t="s">
        <v>910</v>
      </c>
      <c r="D2" s="62" t="s">
        <v>911</v>
      </c>
    </row>
    <row r="3" customFormat="false" ht="66" hidden="false" customHeight="true" outlineLevel="0" collapsed="false">
      <c r="A3" s="30" t="s">
        <v>912</v>
      </c>
      <c r="B3" s="29" t="s">
        <v>913</v>
      </c>
      <c r="C3" s="29" t="s">
        <v>914</v>
      </c>
    </row>
    <row r="4" customFormat="false" ht="78.75" hidden="false" customHeight="true" outlineLevel="0" collapsed="false">
      <c r="A4" s="30" t="s">
        <v>912</v>
      </c>
      <c r="B4" s="29" t="s">
        <v>915</v>
      </c>
      <c r="C4" s="29" t="s">
        <v>916</v>
      </c>
    </row>
    <row r="5" customFormat="false" ht="54" hidden="false" customHeight="true" outlineLevel="0" collapsed="false">
      <c r="A5" s="30" t="s">
        <v>917</v>
      </c>
      <c r="B5" s="29" t="s">
        <v>918</v>
      </c>
      <c r="C5" s="29" t="s">
        <v>919</v>
      </c>
    </row>
    <row r="6" customFormat="false" ht="54" hidden="false" customHeight="true" outlineLevel="0" collapsed="false">
      <c r="A6" s="30" t="s">
        <v>920</v>
      </c>
      <c r="B6" s="29" t="s">
        <v>921</v>
      </c>
      <c r="C6" s="29" t="s">
        <v>922</v>
      </c>
    </row>
    <row r="7" customFormat="false" ht="28.5" hidden="false" customHeight="true" outlineLevel="0" collapsed="false">
      <c r="A7" s="30" t="s">
        <v>923</v>
      </c>
      <c r="B7" s="29" t="s">
        <v>924</v>
      </c>
      <c r="C7" s="29" t="s">
        <v>925</v>
      </c>
    </row>
    <row r="9" customFormat="false" ht="15" hidden="false" customHeight="false" outlineLevel="0" collapsed="false">
      <c r="A9" s="6" t="s">
        <v>926</v>
      </c>
    </row>
    <row r="10" customFormat="false" ht="41.25" hidden="false" customHeight="true" outlineLevel="0" collapsed="false">
      <c r="A10" s="30" t="s">
        <v>124</v>
      </c>
      <c r="B10" s="29" t="s">
        <v>128</v>
      </c>
      <c r="C10" s="29" t="s">
        <v>129</v>
      </c>
      <c r="D10" s="63" t="s">
        <v>927</v>
      </c>
    </row>
    <row r="11" customFormat="false" ht="41.25" hidden="false" customHeight="true" outlineLevel="0" collapsed="false">
      <c r="A11" s="30" t="s">
        <v>131</v>
      </c>
      <c r="B11" s="29" t="s">
        <v>134</v>
      </c>
      <c r="C11" s="29"/>
      <c r="D11" s="63" t="s">
        <v>928</v>
      </c>
    </row>
    <row r="12" customFormat="false" ht="41.25" hidden="false" customHeight="true" outlineLevel="0" collapsed="false">
      <c r="A12" s="30" t="s">
        <v>135</v>
      </c>
      <c r="B12" s="29" t="s">
        <v>139</v>
      </c>
      <c r="C12" s="29"/>
      <c r="D12" s="63" t="s">
        <v>929</v>
      </c>
    </row>
    <row r="13" customFormat="false" ht="66" hidden="false" customHeight="true" outlineLevel="0" collapsed="false">
      <c r="A13" s="30" t="s">
        <v>140</v>
      </c>
      <c r="B13" s="29" t="s">
        <v>143</v>
      </c>
      <c r="C13" s="29" t="s">
        <v>144</v>
      </c>
      <c r="D13" s="63" t="s">
        <v>930</v>
      </c>
    </row>
    <row r="14" customFormat="false" ht="41.25" hidden="false" customHeight="true" outlineLevel="0" collapsed="false">
      <c r="A14" s="30" t="s">
        <v>145</v>
      </c>
      <c r="B14" s="29" t="s">
        <v>149</v>
      </c>
      <c r="C14" s="29"/>
      <c r="D14" s="63" t="s">
        <v>931</v>
      </c>
    </row>
    <row r="15" customFormat="false" ht="66" hidden="false" customHeight="true" outlineLevel="0" collapsed="false">
      <c r="A15" s="30" t="s">
        <v>150</v>
      </c>
      <c r="B15" s="29" t="s">
        <v>154</v>
      </c>
      <c r="C15" s="29" t="s">
        <v>155</v>
      </c>
      <c r="D15" s="63" t="s">
        <v>932</v>
      </c>
    </row>
    <row r="16" customFormat="false" ht="41.25" hidden="false" customHeight="true" outlineLevel="0" collapsed="false">
      <c r="A16" s="30" t="s">
        <v>156</v>
      </c>
      <c r="B16" s="29" t="s">
        <v>159</v>
      </c>
      <c r="C16" s="29" t="s">
        <v>160</v>
      </c>
      <c r="D16" s="63" t="s">
        <v>933</v>
      </c>
    </row>
    <row r="17" customFormat="false" ht="91.5" hidden="false" customHeight="true" outlineLevel="0" collapsed="false">
      <c r="A17" s="30" t="s">
        <v>161</v>
      </c>
      <c r="B17" s="29" t="s">
        <v>166</v>
      </c>
      <c r="C17" s="29" t="s">
        <v>167</v>
      </c>
      <c r="D17" s="63" t="s">
        <v>934</v>
      </c>
    </row>
    <row r="18" customFormat="false" ht="54" hidden="false" customHeight="true" outlineLevel="0" collapsed="false">
      <c r="A18" s="30" t="s">
        <v>168</v>
      </c>
      <c r="B18" s="29" t="s">
        <v>170</v>
      </c>
      <c r="C18" s="29" t="s">
        <v>171</v>
      </c>
      <c r="D18" s="63" t="s">
        <v>935</v>
      </c>
    </row>
    <row r="19" customFormat="false" ht="129" hidden="false" customHeight="true" outlineLevel="0" collapsed="false">
      <c r="A19" s="30" t="s">
        <v>173</v>
      </c>
      <c r="B19" s="29" t="s">
        <v>178</v>
      </c>
      <c r="C19" s="29" t="s">
        <v>179</v>
      </c>
      <c r="D19" s="63" t="s">
        <v>936</v>
      </c>
    </row>
    <row r="20" customFormat="false" ht="91.5" hidden="false" customHeight="true" outlineLevel="0" collapsed="false">
      <c r="A20" s="30" t="s">
        <v>180</v>
      </c>
      <c r="B20" s="29" t="s">
        <v>184</v>
      </c>
      <c r="C20" s="29"/>
      <c r="D20" s="63" t="s">
        <v>937</v>
      </c>
    </row>
    <row r="21" customFormat="false" ht="129" hidden="false" customHeight="true" outlineLevel="0" collapsed="false">
      <c r="A21" s="30" t="s">
        <v>185</v>
      </c>
      <c r="B21" s="29" t="s">
        <v>188</v>
      </c>
      <c r="C21" s="29"/>
      <c r="D21" s="63" t="s">
        <v>938</v>
      </c>
    </row>
    <row r="22" customFormat="false" ht="116.25" hidden="false" customHeight="true" outlineLevel="0" collapsed="false">
      <c r="A22" s="30" t="s">
        <v>189</v>
      </c>
      <c r="B22" s="29" t="s">
        <v>193</v>
      </c>
      <c r="C22" s="29" t="s">
        <v>194</v>
      </c>
      <c r="D22" s="63" t="s">
        <v>939</v>
      </c>
    </row>
    <row r="23" customFormat="false" ht="178.5" hidden="false" customHeight="true" outlineLevel="0" collapsed="false">
      <c r="A23" s="30" t="s">
        <v>195</v>
      </c>
      <c r="B23" s="29" t="s">
        <v>198</v>
      </c>
      <c r="C23" s="29" t="s">
        <v>199</v>
      </c>
      <c r="D23" s="63" t="s">
        <v>940</v>
      </c>
    </row>
    <row r="24" customFormat="false" ht="141" hidden="false" customHeight="true" outlineLevel="0" collapsed="false">
      <c r="A24" s="30" t="s">
        <v>200</v>
      </c>
      <c r="B24" s="29" t="s">
        <v>203</v>
      </c>
      <c r="C24" s="29" t="s">
        <v>204</v>
      </c>
      <c r="D24" s="63" t="s">
        <v>941</v>
      </c>
    </row>
    <row r="25" customFormat="false" ht="103.5" hidden="false" customHeight="true" outlineLevel="0" collapsed="false">
      <c r="A25" s="30" t="s">
        <v>205</v>
      </c>
      <c r="B25" s="29" t="s">
        <v>206</v>
      </c>
      <c r="C25" s="29"/>
      <c r="D25" s="63" t="s">
        <v>942</v>
      </c>
    </row>
    <row r="26" customFormat="false" ht="103.5" hidden="false" customHeight="true" outlineLevel="0" collapsed="false">
      <c r="A26" s="30" t="s">
        <v>207</v>
      </c>
      <c r="B26" s="29" t="s">
        <v>208</v>
      </c>
      <c r="C26" s="29"/>
      <c r="D26" s="63" t="s">
        <v>942</v>
      </c>
    </row>
    <row r="27" customFormat="false" ht="41.25" hidden="false" customHeight="true" outlineLevel="0" collapsed="false">
      <c r="A27" s="30" t="s">
        <v>210</v>
      </c>
      <c r="B27" s="29" t="s">
        <v>943</v>
      </c>
      <c r="C27" s="29"/>
      <c r="D27" s="63" t="s">
        <v>944</v>
      </c>
    </row>
    <row r="28" customFormat="false" ht="66" hidden="false" customHeight="true" outlineLevel="0" collapsed="false">
      <c r="A28" s="30" t="s">
        <v>213</v>
      </c>
      <c r="B28" s="29" t="s">
        <v>217</v>
      </c>
      <c r="C28" s="29" t="s">
        <v>218</v>
      </c>
      <c r="D28" s="63" t="s">
        <v>945</v>
      </c>
    </row>
    <row r="29" customFormat="false" ht="78.75" hidden="false" customHeight="true" outlineLevel="0" collapsed="false">
      <c r="A29" s="30" t="s">
        <v>219</v>
      </c>
      <c r="B29" s="29" t="s">
        <v>222</v>
      </c>
      <c r="C29" s="29" t="s">
        <v>223</v>
      </c>
      <c r="D29" s="63" t="s">
        <v>946</v>
      </c>
    </row>
    <row r="30" customFormat="false" ht="91.5" hidden="false" customHeight="true" outlineLevel="0" collapsed="false">
      <c r="A30" s="30" t="s">
        <v>224</v>
      </c>
      <c r="B30" s="29" t="s">
        <v>943</v>
      </c>
      <c r="C30" s="29"/>
      <c r="D30" s="63" t="s">
        <v>947</v>
      </c>
    </row>
    <row r="31" customFormat="false" ht="41.25" hidden="false" customHeight="true" outlineLevel="0" collapsed="false">
      <c r="A31" s="30" t="s">
        <v>226</v>
      </c>
      <c r="B31" s="29" t="s">
        <v>943</v>
      </c>
      <c r="C31" s="29"/>
      <c r="D31" s="63" t="s">
        <v>948</v>
      </c>
    </row>
    <row r="32" customFormat="false" ht="54" hidden="false" customHeight="true" outlineLevel="0" collapsed="false">
      <c r="A32" s="30" t="s">
        <v>229</v>
      </c>
      <c r="B32" s="29" t="s">
        <v>232</v>
      </c>
      <c r="C32" s="29" t="s">
        <v>233</v>
      </c>
      <c r="D32" s="63" t="s">
        <v>949</v>
      </c>
    </row>
    <row r="33" customFormat="false" ht="66" hidden="false" customHeight="true" outlineLevel="0" collapsed="false">
      <c r="A33" s="30" t="s">
        <v>234</v>
      </c>
      <c r="B33" s="29" t="s">
        <v>236</v>
      </c>
      <c r="C33" s="29"/>
      <c r="D33" s="63" t="s">
        <v>950</v>
      </c>
    </row>
    <row r="34" customFormat="false" ht="41.25" hidden="false" customHeight="true" outlineLevel="0" collapsed="false">
      <c r="A34" s="30" t="s">
        <v>237</v>
      </c>
      <c r="B34" s="29" t="s">
        <v>943</v>
      </c>
      <c r="C34" s="29" t="s">
        <v>241</v>
      </c>
      <c r="D34" s="63" t="s">
        <v>951</v>
      </c>
    </row>
    <row r="35" customFormat="false" ht="54" hidden="false" customHeight="true" outlineLevel="0" collapsed="false">
      <c r="A35" s="30" t="s">
        <v>242</v>
      </c>
      <c r="B35" s="29" t="s">
        <v>943</v>
      </c>
      <c r="C35" s="29"/>
      <c r="D35" s="63" t="s">
        <v>952</v>
      </c>
    </row>
    <row r="36" customFormat="false" ht="41.25" hidden="false" customHeight="true" outlineLevel="0" collapsed="false">
      <c r="A36" s="30" t="s">
        <v>244</v>
      </c>
      <c r="B36" s="29" t="s">
        <v>247</v>
      </c>
      <c r="C36" s="29" t="s">
        <v>248</v>
      </c>
      <c r="D36" s="63" t="s">
        <v>953</v>
      </c>
    </row>
    <row r="37" customFormat="false" ht="54" hidden="false" customHeight="true" outlineLevel="0" collapsed="false">
      <c r="A37" s="30" t="s">
        <v>249</v>
      </c>
      <c r="B37" s="29" t="s">
        <v>252</v>
      </c>
      <c r="C37" s="29" t="s">
        <v>253</v>
      </c>
      <c r="D37" s="63" t="s">
        <v>954</v>
      </c>
    </row>
    <row r="38" customFormat="false" ht="41.25" hidden="false" customHeight="true" outlineLevel="0" collapsed="false">
      <c r="A38" s="30" t="s">
        <v>255</v>
      </c>
      <c r="B38" s="29" t="s">
        <v>258</v>
      </c>
      <c r="C38" s="29" t="s">
        <v>259</v>
      </c>
      <c r="D38" s="63" t="s">
        <v>955</v>
      </c>
    </row>
    <row r="39" customFormat="false" ht="129" hidden="false" customHeight="true" outlineLevel="0" collapsed="false">
      <c r="A39" s="30" t="s">
        <v>260</v>
      </c>
      <c r="B39" s="29" t="s">
        <v>264</v>
      </c>
      <c r="C39" s="29"/>
      <c r="D39" s="63" t="s">
        <v>956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2026-06-24T14:34:26Z</dcterms:created>
  <dc:creator>GuzmanDG@scdot.gov</dc:creator>
  <dc:description/>
  <dc:language>en-US</dc:language>
  <cp:lastModifiedBy>Guzman Gomez, Delio, G.</cp:lastModifiedBy>
  <dcterms:modified xsi:type="dcterms:W3CDTF">2026-10-02T13:03:38Z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